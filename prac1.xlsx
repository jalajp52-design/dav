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pp\dav\dav-main\"/>
    </mc:Choice>
  </mc:AlternateContent>
  <xr:revisionPtr revIDLastSave="0" documentId="8_{438DE366-6283-4A2D-B57B-D3AE46096FD2}" xr6:coauthVersionLast="47" xr6:coauthVersionMax="47" xr10:uidLastSave="{00000000-0000-0000-0000-000000000000}"/>
  <bookViews>
    <workbookView xWindow="-120" yWindow="-120" windowWidth="19440" windowHeight="14880" xr2:uid="{33105870-ADC0-405A-8A3B-ED6BBCBFE6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<sst xmlns="http://schemas.openxmlformats.org/spreadsheetml/2006/main" count="120" uniqueCount="74">
  <si>
    <t>Sr No</t>
  </si>
  <si>
    <t>Enrollment No</t>
  </si>
  <si>
    <t>Department</t>
  </si>
  <si>
    <t>Student Name</t>
  </si>
  <si>
    <t>Semester</t>
  </si>
  <si>
    <t>Email</t>
  </si>
  <si>
    <t>Mobile</t>
  </si>
  <si>
    <t>SPI</t>
  </si>
  <si>
    <t>CPI</t>
  </si>
  <si>
    <t>Professional Elective</t>
  </si>
  <si>
    <t>TOE Name</t>
  </si>
  <si>
    <t>CNS</t>
  </si>
  <si>
    <t>SE</t>
  </si>
  <si>
    <t>DMBI</t>
  </si>
  <si>
    <t>WT</t>
  </si>
  <si>
    <t>EO</t>
  </si>
  <si>
    <t>EN1</t>
  </si>
  <si>
    <t>IT</t>
  </si>
  <si>
    <t>jalaj patel</t>
  </si>
  <si>
    <t>AI</t>
  </si>
  <si>
    <t>Cloud</t>
  </si>
  <si>
    <t>EN2</t>
  </si>
  <si>
    <t>dev</t>
  </si>
  <si>
    <t>ML</t>
  </si>
  <si>
    <t>DevOps</t>
  </si>
  <si>
    <t>EN3</t>
  </si>
  <si>
    <t>CO</t>
  </si>
  <si>
    <t>raj</t>
  </si>
  <si>
    <t>DB</t>
  </si>
  <si>
    <t>AWS</t>
  </si>
  <si>
    <t>EN4</t>
  </si>
  <si>
    <t>harsh</t>
  </si>
  <si>
    <t>Web</t>
  </si>
  <si>
    <t>Security</t>
  </si>
  <si>
    <t>EN5</t>
  </si>
  <si>
    <t>ME</t>
  </si>
  <si>
    <t>henil</t>
  </si>
  <si>
    <t>EN6</t>
  </si>
  <si>
    <t>harsh h</t>
  </si>
  <si>
    <t>Elective</t>
  </si>
  <si>
    <t>EN7</t>
  </si>
  <si>
    <t>harsh m</t>
  </si>
  <si>
    <t>EN8</t>
  </si>
  <si>
    <t>pratik</t>
  </si>
  <si>
    <t>TOE</t>
  </si>
  <si>
    <t>EN9</t>
  </si>
  <si>
    <t>devarshi</t>
  </si>
  <si>
    <t>e-com</t>
  </si>
  <si>
    <t>EN10</t>
  </si>
  <si>
    <t>jemil</t>
  </si>
  <si>
    <t>EN11</t>
  </si>
  <si>
    <t>jenil</t>
  </si>
  <si>
    <t>EN12</t>
  </si>
  <si>
    <t>het</t>
  </si>
  <si>
    <t>EN13</t>
  </si>
  <si>
    <t>deep</t>
  </si>
  <si>
    <t>EN14</t>
  </si>
  <si>
    <t>meet</t>
  </si>
  <si>
    <t>EN15</t>
  </si>
  <si>
    <t>neel</t>
  </si>
  <si>
    <t>EN16</t>
  </si>
  <si>
    <t>manan</t>
  </si>
  <si>
    <t>EN17</t>
  </si>
  <si>
    <t xml:space="preserve"> het l</t>
  </si>
  <si>
    <t>EN18</t>
  </si>
  <si>
    <t>mox</t>
  </si>
  <si>
    <t>EN19</t>
  </si>
  <si>
    <t>harif</t>
  </si>
  <si>
    <t>EN20</t>
  </si>
  <si>
    <t>hofa</t>
  </si>
  <si>
    <t>grand total</t>
  </si>
  <si>
    <t>percentage</t>
  </si>
  <si>
    <t>result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</si>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</sst>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920F8-74B9-40C3-BD83-A00AAFB352F0}">
  <dimension ref="A1:T21"/>
  <sheetViews>
    <sheetView tabSelected="1" zoomScale="85" zoomScaleNormal="85" workbookViewId="0">
      <selection activeCell="T1" sqref="T1"/>
    </sheetView>
  </sheetViews>
  <sheetFormatPr defaultRowHeight="15" x14ac:dyDescent="0.25"/>
  <cols>
    <col min="17" max="17" width="12.28515625" customWidth="1"/>
    <col min="18" max="18" width="12" customWidth="1"/>
    <col min="20" max="20" width="13.140625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70</v>
      </c>
      <c r="R1" t="s">
        <v>71</v>
      </c>
      <c r="S1" t="s">
        <v>72</v>
      </c>
      <c r="T1" t="s">
        <v>73</v>
      </c>
    </row>
    <row r="2" spans="1:20" x14ac:dyDescent="0.25">
      <c r="A2">
        <v>1</v>
      </c>
      <c r="B2" t="s">
        <v>16</v>
      </c>
      <c r="C2" t="s">
        <v>17</v>
      </c>
      <c r="D2" t="s">
        <v>18</v>
      </c>
      <c r="E2">
        <v>6</v>
      </c>
      <c r="F2" t="str">
        <f>D2 &amp; "@gmail.com"</f>
        <v>jalaj patel@gmail.com</v>
      </c>
      <c r="G2">
        <v>8849493211</v>
      </c>
      <c r="H2">
        <v>9</v>
      </c>
      <c r="I2">
        <v>10</v>
      </c>
      <c r="J2" t="s">
        <v>19</v>
      </c>
      <c r="K2" t="s">
        <v>20</v>
      </c>
      <c r="L2">
        <v>85</v>
      </c>
      <c r="M2">
        <v>88</v>
      </c>
      <c r="N2">
        <v>90</v>
      </c>
      <c r="O2">
        <v>82</v>
      </c>
      <c r="P2">
        <v>86</v>
      </c>
      <c r="Q2">
        <f>SUM(L2:P2)</f>
        <v>431</v>
      </c>
      <c r="R2">
        <f>Q2/500*100</f>
        <v>86.2</v>
      </c>
      <c r="S2" t="str">
        <f>IF(R2&gt;=35,"PASS","FAIL")</f>
        <v>PASS</v>
      </c>
      <c r="T2" t="str">
        <f>IF(R2&gt;75,"Distinction",IF(R2&gt;=60,"First Class",IF(R2&gt;=35,"Second Class","Fail")))</f>
        <v>Distinction</v>
      </c>
    </row>
    <row r="3" spans="1:20" x14ac:dyDescent="0.25">
      <c r="A3">
        <v>2</v>
      </c>
      <c r="B3" t="s">
        <v>21</v>
      </c>
      <c r="C3" t="s">
        <v>17</v>
      </c>
      <c r="D3" t="s">
        <v>22</v>
      </c>
      <c r="E3">
        <v>6</v>
      </c>
      <c r="F3" t="str">
        <f t="shared" ref="F3:F21" si="0">D3 &amp; "@gmail.com"</f>
        <v>dev@gmail.com</v>
      </c>
      <c r="G3">
        <v>884949221</v>
      </c>
      <c r="H3">
        <v>8.1</v>
      </c>
      <c r="I3">
        <v>7.9</v>
      </c>
      <c r="J3" t="s">
        <v>23</v>
      </c>
      <c r="K3" t="s">
        <v>24</v>
      </c>
      <c r="L3">
        <v>70</v>
      </c>
      <c r="M3">
        <v>65</v>
      </c>
      <c r="N3">
        <v>68</v>
      </c>
      <c r="O3">
        <v>72</v>
      </c>
      <c r="P3">
        <v>66</v>
      </c>
      <c r="Q3">
        <f t="shared" ref="Q3:Q21" si="1">SUM(L3:P3)</f>
        <v>341</v>
      </c>
      <c r="R3">
        <f t="shared" ref="R3:R21" si="2">Q3/500*100</f>
        <v>68.2</v>
      </c>
      <c r="S3" t="str">
        <f t="shared" ref="S3:S21" si="3">IF(R3&gt;=35,"PASS","FAIL")</f>
        <v>PASS</v>
      </c>
      <c r="T3" t="str">
        <f t="shared" ref="T3:T21" si="4">IF(R3&gt;75,"Distinction",IF(R3&gt;=60,"First Class",IF(R3&gt;=35,"Second Class","Fail")))</f>
        <v>First Class</v>
      </c>
    </row>
    <row r="4" spans="1:20" x14ac:dyDescent="0.25">
      <c r="A4">
        <v>3</v>
      </c>
      <c r="B4" t="s">
        <v>25</v>
      </c>
      <c r="C4" t="s">
        <v>26</v>
      </c>
      <c r="D4" t="s">
        <v>27</v>
      </c>
      <c r="E4">
        <v>6</v>
      </c>
      <c r="F4" t="str">
        <f t="shared" si="0"/>
        <v>raj@gmail.com</v>
      </c>
      <c r="G4">
        <v>8849493211</v>
      </c>
      <c r="H4">
        <v>9</v>
      </c>
      <c r="I4">
        <v>6.2</v>
      </c>
      <c r="J4" t="s">
        <v>28</v>
      </c>
      <c r="K4" t="s">
        <v>29</v>
      </c>
      <c r="L4">
        <v>45</v>
      </c>
      <c r="M4">
        <v>48</v>
      </c>
      <c r="N4">
        <v>50</v>
      </c>
      <c r="O4">
        <v>42</v>
      </c>
      <c r="P4">
        <v>47</v>
      </c>
      <c r="Q4">
        <f t="shared" si="1"/>
        <v>232</v>
      </c>
      <c r="R4">
        <f t="shared" si="2"/>
        <v>46.400000000000006</v>
      </c>
      <c r="S4" t="str">
        <f t="shared" si="3"/>
        <v>PASS</v>
      </c>
      <c r="T4" t="str">
        <f t="shared" si="4"/>
        <v>Second Class</v>
      </c>
    </row>
    <row r="5" spans="1:20" x14ac:dyDescent="0.25">
      <c r="A5">
        <v>4</v>
      </c>
      <c r="B5" t="s">
        <v>30</v>
      </c>
      <c r="C5" t="s">
        <v>17</v>
      </c>
      <c r="D5" t="s">
        <v>31</v>
      </c>
      <c r="E5">
        <v>6</v>
      </c>
      <c r="F5" t="str">
        <f t="shared" si="0"/>
        <v>harsh@gmail.com</v>
      </c>
      <c r="G5">
        <v>8958956945</v>
      </c>
      <c r="H5">
        <v>4.8</v>
      </c>
      <c r="I5">
        <v>4.5</v>
      </c>
      <c r="J5" t="s">
        <v>32</v>
      </c>
      <c r="K5" t="s">
        <v>33</v>
      </c>
      <c r="L5">
        <v>30</v>
      </c>
      <c r="M5">
        <v>32</v>
      </c>
      <c r="N5">
        <v>28</v>
      </c>
      <c r="O5">
        <v>34</v>
      </c>
      <c r="P5">
        <v>31</v>
      </c>
      <c r="Q5">
        <f t="shared" si="1"/>
        <v>155</v>
      </c>
      <c r="R5">
        <f t="shared" si="2"/>
        <v>31</v>
      </c>
      <c r="S5" t="str">
        <f t="shared" si="3"/>
        <v>FAIL</v>
      </c>
      <c r="T5" t="str">
        <f t="shared" si="4"/>
        <v>Fail</v>
      </c>
    </row>
    <row r="6" spans="1:20" x14ac:dyDescent="0.25">
      <c r="A6">
        <v>5</v>
      </c>
      <c r="B6" t="s">
        <v>34</v>
      </c>
      <c r="C6" t="s">
        <v>35</v>
      </c>
      <c r="D6" t="s">
        <v>36</v>
      </c>
      <c r="E6">
        <v>6</v>
      </c>
      <c r="F6" t="str">
        <f t="shared" si="0"/>
        <v>henil@gmail.com</v>
      </c>
      <c r="G6">
        <v>9992817893</v>
      </c>
      <c r="H6">
        <v>5</v>
      </c>
      <c r="I6">
        <v>5</v>
      </c>
      <c r="J6" t="s">
        <v>32</v>
      </c>
      <c r="K6" t="s">
        <v>29</v>
      </c>
      <c r="L6">
        <v>60</v>
      </c>
      <c r="M6">
        <v>63</v>
      </c>
      <c r="N6">
        <v>57</v>
      </c>
      <c r="O6">
        <v>55</v>
      </c>
      <c r="P6">
        <v>59</v>
      </c>
      <c r="Q6">
        <f t="shared" si="1"/>
        <v>294</v>
      </c>
      <c r="R6">
        <f t="shared" si="2"/>
        <v>58.8</v>
      </c>
      <c r="S6" t="str">
        <f t="shared" si="3"/>
        <v>PASS</v>
      </c>
      <c r="T6" t="str">
        <f t="shared" si="4"/>
        <v>Second Class</v>
      </c>
    </row>
    <row r="7" spans="1:20" x14ac:dyDescent="0.25">
      <c r="A7">
        <v>6</v>
      </c>
      <c r="B7" t="s">
        <v>37</v>
      </c>
      <c r="C7" t="s">
        <v>17</v>
      </c>
      <c r="D7" t="s">
        <v>38</v>
      </c>
      <c r="E7">
        <v>6</v>
      </c>
      <c r="F7" t="str">
        <f t="shared" si="0"/>
        <v>harsh h@gmail.com</v>
      </c>
      <c r="G7">
        <v>9939939393</v>
      </c>
      <c r="H7">
        <v>5.0999999999999996</v>
      </c>
      <c r="I7">
        <v>5.12</v>
      </c>
      <c r="J7" t="s">
        <v>39</v>
      </c>
      <c r="K7" t="s">
        <v>29</v>
      </c>
      <c r="L7">
        <v>61</v>
      </c>
      <c r="M7">
        <v>64</v>
      </c>
      <c r="N7">
        <v>58</v>
      </c>
      <c r="O7">
        <v>56</v>
      </c>
      <c r="P7">
        <v>60</v>
      </c>
      <c r="Q7">
        <f t="shared" si="1"/>
        <v>299</v>
      </c>
      <c r="R7">
        <f t="shared" si="2"/>
        <v>59.8</v>
      </c>
      <c r="S7" t="str">
        <f t="shared" si="3"/>
        <v>PASS</v>
      </c>
      <c r="T7" t="str">
        <f t="shared" si="4"/>
        <v>Second Class</v>
      </c>
    </row>
    <row r="8" spans="1:20" x14ac:dyDescent="0.25">
      <c r="A8">
        <v>7</v>
      </c>
      <c r="B8" t="s">
        <v>40</v>
      </c>
      <c r="C8" t="s">
        <v>35</v>
      </c>
      <c r="D8" t="s">
        <v>41</v>
      </c>
      <c r="E8">
        <v>6</v>
      </c>
      <c r="F8" t="str">
        <f t="shared" si="0"/>
        <v>harsh m@gmail.com</v>
      </c>
      <c r="G8">
        <v>9999999999</v>
      </c>
      <c r="H8">
        <v>5.2</v>
      </c>
      <c r="I8">
        <v>5.24</v>
      </c>
      <c r="J8" t="s">
        <v>28</v>
      </c>
      <c r="K8" t="s">
        <v>29</v>
      </c>
      <c r="L8">
        <v>62</v>
      </c>
      <c r="M8">
        <v>65</v>
      </c>
      <c r="N8">
        <v>59</v>
      </c>
      <c r="O8">
        <v>57</v>
      </c>
      <c r="P8">
        <v>61</v>
      </c>
      <c r="Q8">
        <f t="shared" si="1"/>
        <v>304</v>
      </c>
      <c r="R8">
        <f t="shared" si="2"/>
        <v>60.8</v>
      </c>
      <c r="S8" t="str">
        <f t="shared" si="3"/>
        <v>PASS</v>
      </c>
      <c r="T8" t="str">
        <f t="shared" si="4"/>
        <v>First Class</v>
      </c>
    </row>
    <row r="9" spans="1:20" x14ac:dyDescent="0.25">
      <c r="A9">
        <v>8</v>
      </c>
      <c r="B9" t="s">
        <v>42</v>
      </c>
      <c r="C9" t="s">
        <v>17</v>
      </c>
      <c r="D9" t="s">
        <v>43</v>
      </c>
      <c r="E9">
        <v>6</v>
      </c>
      <c r="F9" t="str">
        <f t="shared" si="0"/>
        <v>pratik@gmail.com</v>
      </c>
      <c r="G9">
        <v>9999999993</v>
      </c>
      <c r="H9">
        <v>5.3</v>
      </c>
      <c r="I9">
        <v>5.36</v>
      </c>
      <c r="J9" t="s">
        <v>39</v>
      </c>
      <c r="K9" t="s">
        <v>44</v>
      </c>
      <c r="L9">
        <v>63</v>
      </c>
      <c r="M9">
        <v>66</v>
      </c>
      <c r="N9">
        <v>60</v>
      </c>
      <c r="O9">
        <v>58</v>
      </c>
      <c r="P9">
        <v>62</v>
      </c>
      <c r="Q9">
        <f t="shared" si="1"/>
        <v>309</v>
      </c>
      <c r="R9">
        <f t="shared" si="2"/>
        <v>61.8</v>
      </c>
      <c r="S9" t="str">
        <f t="shared" si="3"/>
        <v>PASS</v>
      </c>
      <c r="T9" t="str">
        <f t="shared" si="4"/>
        <v>First Class</v>
      </c>
    </row>
    <row r="10" spans="1:20" x14ac:dyDescent="0.25">
      <c r="A10">
        <v>9</v>
      </c>
      <c r="B10" t="s">
        <v>45</v>
      </c>
      <c r="C10" t="s">
        <v>17</v>
      </c>
      <c r="D10" t="s">
        <v>46</v>
      </c>
      <c r="E10">
        <v>6</v>
      </c>
      <c r="F10" t="str">
        <f t="shared" si="0"/>
        <v>devarshi@gmail.com</v>
      </c>
      <c r="G10">
        <v>8383838838</v>
      </c>
      <c r="H10">
        <v>5.4</v>
      </c>
      <c r="I10">
        <v>5.48</v>
      </c>
      <c r="J10" t="s">
        <v>39</v>
      </c>
      <c r="K10" t="s">
        <v>47</v>
      </c>
      <c r="L10">
        <v>64</v>
      </c>
      <c r="M10">
        <v>67</v>
      </c>
      <c r="N10">
        <v>61</v>
      </c>
      <c r="O10">
        <v>59</v>
      </c>
      <c r="P10">
        <v>63</v>
      </c>
      <c r="Q10">
        <f t="shared" si="1"/>
        <v>314</v>
      </c>
      <c r="R10">
        <f t="shared" si="2"/>
        <v>62.8</v>
      </c>
      <c r="S10" t="str">
        <f t="shared" si="3"/>
        <v>PASS</v>
      </c>
      <c r="T10" t="str">
        <f t="shared" si="4"/>
        <v>First Class</v>
      </c>
    </row>
    <row r="11" spans="1:20" x14ac:dyDescent="0.25">
      <c r="A11">
        <v>10</v>
      </c>
      <c r="B11" t="s">
        <v>48</v>
      </c>
      <c r="C11" t="s">
        <v>26</v>
      </c>
      <c r="D11" t="s">
        <v>49</v>
      </c>
      <c r="E11">
        <v>6</v>
      </c>
      <c r="F11" t="str">
        <f t="shared" si="0"/>
        <v>jemil@gmail.com</v>
      </c>
      <c r="G11">
        <v>8849493211</v>
      </c>
      <c r="H11">
        <v>5.5</v>
      </c>
      <c r="I11">
        <v>5.6</v>
      </c>
      <c r="J11" t="s">
        <v>28</v>
      </c>
      <c r="K11" t="s">
        <v>29</v>
      </c>
      <c r="L11">
        <v>55</v>
      </c>
      <c r="M11">
        <v>58</v>
      </c>
      <c r="N11">
        <v>52</v>
      </c>
      <c r="O11">
        <v>50</v>
      </c>
      <c r="P11">
        <v>54</v>
      </c>
      <c r="Q11">
        <f t="shared" si="1"/>
        <v>269</v>
      </c>
      <c r="R11">
        <f t="shared" si="2"/>
        <v>53.800000000000004</v>
      </c>
      <c r="S11" t="str">
        <f t="shared" si="3"/>
        <v>PASS</v>
      </c>
      <c r="T11" t="str">
        <f t="shared" si="4"/>
        <v>Second Class</v>
      </c>
    </row>
    <row r="12" spans="1:20" x14ac:dyDescent="0.25">
      <c r="A12">
        <v>11</v>
      </c>
      <c r="B12" t="s">
        <v>50</v>
      </c>
      <c r="C12" t="s">
        <v>35</v>
      </c>
      <c r="D12" t="s">
        <v>51</v>
      </c>
      <c r="E12">
        <v>6</v>
      </c>
      <c r="F12" t="str">
        <f t="shared" si="0"/>
        <v>jenil@gmail.com</v>
      </c>
      <c r="G12">
        <v>9999999990</v>
      </c>
      <c r="H12">
        <v>5.6</v>
      </c>
      <c r="I12">
        <v>5.72</v>
      </c>
      <c r="J12" t="s">
        <v>19</v>
      </c>
      <c r="K12" t="s">
        <v>47</v>
      </c>
      <c r="L12">
        <v>56</v>
      </c>
      <c r="M12">
        <v>59</v>
      </c>
      <c r="N12">
        <v>53</v>
      </c>
      <c r="O12">
        <v>51</v>
      </c>
      <c r="P12">
        <v>55</v>
      </c>
      <c r="Q12">
        <f t="shared" si="1"/>
        <v>274</v>
      </c>
      <c r="R12">
        <f t="shared" si="2"/>
        <v>54.800000000000004</v>
      </c>
      <c r="S12" t="str">
        <f t="shared" si="3"/>
        <v>PASS</v>
      </c>
      <c r="T12" t="str">
        <f t="shared" si="4"/>
        <v>Second Class</v>
      </c>
    </row>
    <row r="13" spans="1:20" x14ac:dyDescent="0.25">
      <c r="A13">
        <v>12</v>
      </c>
      <c r="B13" t="s">
        <v>52</v>
      </c>
      <c r="C13" t="s">
        <v>17</v>
      </c>
      <c r="D13" t="s">
        <v>53</v>
      </c>
      <c r="E13">
        <v>6</v>
      </c>
      <c r="F13" t="str">
        <f t="shared" si="0"/>
        <v>het@gmail.com</v>
      </c>
      <c r="G13">
        <v>9999977676</v>
      </c>
      <c r="H13">
        <v>5.7</v>
      </c>
      <c r="I13">
        <v>5.84</v>
      </c>
      <c r="J13" t="s">
        <v>39</v>
      </c>
      <c r="K13" t="s">
        <v>29</v>
      </c>
      <c r="L13">
        <v>57</v>
      </c>
      <c r="M13">
        <v>60</v>
      </c>
      <c r="N13">
        <v>54</v>
      </c>
      <c r="O13">
        <v>52</v>
      </c>
      <c r="P13">
        <v>56</v>
      </c>
      <c r="Q13">
        <f t="shared" si="1"/>
        <v>279</v>
      </c>
      <c r="R13">
        <f t="shared" si="2"/>
        <v>55.800000000000004</v>
      </c>
      <c r="S13" t="str">
        <f t="shared" si="3"/>
        <v>PASS</v>
      </c>
      <c r="T13" t="str">
        <f t="shared" si="4"/>
        <v>Second Class</v>
      </c>
    </row>
    <row r="14" spans="1:20" x14ac:dyDescent="0.25">
      <c r="A14">
        <v>13</v>
      </c>
      <c r="B14" t="s">
        <v>54</v>
      </c>
      <c r="C14" t="s">
        <v>26</v>
      </c>
      <c r="D14" t="s">
        <v>55</v>
      </c>
      <c r="E14">
        <v>6</v>
      </c>
      <c r="F14" t="str">
        <f t="shared" si="0"/>
        <v>deep@gmail.com</v>
      </c>
      <c r="G14">
        <v>9477474747</v>
      </c>
      <c r="H14">
        <v>5.8</v>
      </c>
      <c r="I14">
        <v>5.96</v>
      </c>
      <c r="J14" t="s">
        <v>39</v>
      </c>
      <c r="K14" t="s">
        <v>44</v>
      </c>
      <c r="L14">
        <v>58</v>
      </c>
      <c r="M14">
        <v>61</v>
      </c>
      <c r="N14">
        <v>55</v>
      </c>
      <c r="O14">
        <v>53</v>
      </c>
      <c r="P14">
        <v>57</v>
      </c>
      <c r="Q14">
        <f t="shared" si="1"/>
        <v>284</v>
      </c>
      <c r="R14">
        <f t="shared" si="2"/>
        <v>56.8</v>
      </c>
      <c r="S14" t="str">
        <f t="shared" si="3"/>
        <v>PASS</v>
      </c>
      <c r="T14" t="str">
        <f t="shared" si="4"/>
        <v>Second Class</v>
      </c>
    </row>
    <row r="15" spans="1:20" x14ac:dyDescent="0.25">
      <c r="A15">
        <v>14</v>
      </c>
      <c r="B15" t="s">
        <v>56</v>
      </c>
      <c r="C15" t="s">
        <v>35</v>
      </c>
      <c r="D15" t="s">
        <v>57</v>
      </c>
      <c r="E15">
        <v>6</v>
      </c>
      <c r="F15" t="str">
        <f t="shared" si="0"/>
        <v>meet@gmail.com</v>
      </c>
      <c r="G15">
        <v>8494949494</v>
      </c>
      <c r="H15">
        <v>5.9</v>
      </c>
      <c r="I15">
        <v>6.08</v>
      </c>
      <c r="J15" t="s">
        <v>19</v>
      </c>
      <c r="K15" t="s">
        <v>29</v>
      </c>
      <c r="L15">
        <v>59</v>
      </c>
      <c r="M15">
        <v>62</v>
      </c>
      <c r="N15">
        <v>56</v>
      </c>
      <c r="O15">
        <v>54</v>
      </c>
      <c r="P15">
        <v>58</v>
      </c>
      <c r="Q15">
        <f t="shared" si="1"/>
        <v>289</v>
      </c>
      <c r="R15">
        <f t="shared" si="2"/>
        <v>57.8</v>
      </c>
      <c r="S15" t="str">
        <f t="shared" si="3"/>
        <v>PASS</v>
      </c>
      <c r="T15" t="str">
        <f t="shared" si="4"/>
        <v>Second Class</v>
      </c>
    </row>
    <row r="16" spans="1:20" x14ac:dyDescent="0.25">
      <c r="A16">
        <v>15</v>
      </c>
      <c r="B16" t="s">
        <v>58</v>
      </c>
      <c r="C16" t="s">
        <v>35</v>
      </c>
      <c r="D16" t="s">
        <v>59</v>
      </c>
      <c r="E16">
        <v>6</v>
      </c>
      <c r="F16" t="str">
        <f t="shared" si="0"/>
        <v>neel@gmail.com</v>
      </c>
      <c r="G16">
        <v>9373738838</v>
      </c>
      <c r="H16">
        <v>6</v>
      </c>
      <c r="I16">
        <v>6.2</v>
      </c>
      <c r="J16" t="s">
        <v>28</v>
      </c>
      <c r="K16" t="s">
        <v>29</v>
      </c>
      <c r="L16">
        <v>60</v>
      </c>
      <c r="M16">
        <v>63</v>
      </c>
      <c r="N16">
        <v>57</v>
      </c>
      <c r="O16">
        <v>55</v>
      </c>
      <c r="P16">
        <v>59</v>
      </c>
      <c r="Q16">
        <f t="shared" si="1"/>
        <v>294</v>
      </c>
      <c r="R16">
        <f t="shared" si="2"/>
        <v>58.8</v>
      </c>
      <c r="S16" t="str">
        <f t="shared" si="3"/>
        <v>PASS</v>
      </c>
      <c r="T16" t="str">
        <f t="shared" si="4"/>
        <v>Second Class</v>
      </c>
    </row>
    <row r="17" spans="1:20" x14ac:dyDescent="0.25">
      <c r="A17">
        <v>16</v>
      </c>
      <c r="B17" t="s">
        <v>60</v>
      </c>
      <c r="C17" t="s">
        <v>26</v>
      </c>
      <c r="D17" t="s">
        <v>61</v>
      </c>
      <c r="E17">
        <v>6</v>
      </c>
      <c r="F17" t="str">
        <f t="shared" si="0"/>
        <v>manan@gmail.com</v>
      </c>
      <c r="G17">
        <v>9378378387</v>
      </c>
      <c r="H17">
        <v>6.1</v>
      </c>
      <c r="I17">
        <v>6.32</v>
      </c>
      <c r="J17" t="s">
        <v>39</v>
      </c>
      <c r="K17" t="s">
        <v>44</v>
      </c>
      <c r="L17">
        <v>61</v>
      </c>
      <c r="M17">
        <v>64</v>
      </c>
      <c r="N17">
        <v>58</v>
      </c>
      <c r="O17">
        <v>56</v>
      </c>
      <c r="P17">
        <v>60</v>
      </c>
      <c r="Q17">
        <f t="shared" si="1"/>
        <v>299</v>
      </c>
      <c r="R17">
        <f t="shared" si="2"/>
        <v>59.8</v>
      </c>
      <c r="S17" t="str">
        <f t="shared" si="3"/>
        <v>PASS</v>
      </c>
      <c r="T17" t="str">
        <f t="shared" si="4"/>
        <v>Second Class</v>
      </c>
    </row>
    <row r="18" spans="1:20" x14ac:dyDescent="0.25">
      <c r="A18">
        <v>17</v>
      </c>
      <c r="B18" t="s">
        <v>62</v>
      </c>
      <c r="C18" t="s">
        <v>17</v>
      </c>
      <c r="D18" t="s">
        <v>63</v>
      </c>
      <c r="E18">
        <v>6</v>
      </c>
      <c r="F18" t="str">
        <f t="shared" si="0"/>
        <v xml:space="preserve"> het l@gmail.com</v>
      </c>
      <c r="G18">
        <v>9171717817</v>
      </c>
      <c r="H18">
        <v>6.2</v>
      </c>
      <c r="I18">
        <v>6.44</v>
      </c>
      <c r="J18" t="s">
        <v>28</v>
      </c>
      <c r="K18" t="s">
        <v>33</v>
      </c>
      <c r="L18">
        <v>62</v>
      </c>
      <c r="M18">
        <v>65</v>
      </c>
      <c r="N18">
        <v>59</v>
      </c>
      <c r="O18">
        <v>57</v>
      </c>
      <c r="P18">
        <v>61</v>
      </c>
      <c r="Q18">
        <f t="shared" si="1"/>
        <v>304</v>
      </c>
      <c r="R18">
        <f t="shared" si="2"/>
        <v>60.8</v>
      </c>
      <c r="S18" t="str">
        <f t="shared" si="3"/>
        <v>PASS</v>
      </c>
      <c r="T18" t="str">
        <f t="shared" si="4"/>
        <v>First Class</v>
      </c>
    </row>
    <row r="19" spans="1:20" x14ac:dyDescent="0.25">
      <c r="A19">
        <v>18</v>
      </c>
      <c r="B19" t="s">
        <v>64</v>
      </c>
      <c r="C19" t="s">
        <v>35</v>
      </c>
      <c r="D19" t="s">
        <v>65</v>
      </c>
      <c r="E19">
        <v>6</v>
      </c>
      <c r="F19" t="str">
        <f t="shared" si="0"/>
        <v>mox@gmail.com</v>
      </c>
      <c r="G19">
        <v>8919129929</v>
      </c>
      <c r="H19">
        <v>6.3</v>
      </c>
      <c r="I19">
        <v>6.56</v>
      </c>
      <c r="J19" t="s">
        <v>39</v>
      </c>
      <c r="K19" t="s">
        <v>29</v>
      </c>
      <c r="L19">
        <v>63</v>
      </c>
      <c r="M19">
        <v>66</v>
      </c>
      <c r="N19">
        <v>60</v>
      </c>
      <c r="O19">
        <v>58</v>
      </c>
      <c r="P19">
        <v>62</v>
      </c>
      <c r="Q19">
        <f t="shared" si="1"/>
        <v>309</v>
      </c>
      <c r="R19">
        <f t="shared" si="2"/>
        <v>61.8</v>
      </c>
      <c r="S19" t="str">
        <f t="shared" si="3"/>
        <v>PASS</v>
      </c>
      <c r="T19" t="str">
        <f t="shared" si="4"/>
        <v>First Class</v>
      </c>
    </row>
    <row r="20" spans="1:20" x14ac:dyDescent="0.25">
      <c r="A20">
        <v>19</v>
      </c>
      <c r="B20" t="s">
        <v>66</v>
      </c>
      <c r="C20" t="s">
        <v>35</v>
      </c>
      <c r="D20" t="s">
        <v>67</v>
      </c>
      <c r="E20">
        <v>6</v>
      </c>
      <c r="F20" t="str">
        <f t="shared" si="0"/>
        <v>harif@gmail.com</v>
      </c>
      <c r="G20">
        <v>9287828288</v>
      </c>
      <c r="H20">
        <v>6.4</v>
      </c>
      <c r="I20">
        <v>6.68</v>
      </c>
      <c r="J20" t="s">
        <v>39</v>
      </c>
      <c r="K20" t="s">
        <v>29</v>
      </c>
      <c r="L20">
        <v>64</v>
      </c>
      <c r="M20">
        <v>67</v>
      </c>
      <c r="N20">
        <v>61</v>
      </c>
      <c r="O20">
        <v>59</v>
      </c>
      <c r="P20">
        <v>63</v>
      </c>
      <c r="Q20">
        <f t="shared" si="1"/>
        <v>314</v>
      </c>
      <c r="R20">
        <f t="shared" si="2"/>
        <v>62.8</v>
      </c>
      <c r="S20" t="str">
        <f t="shared" si="3"/>
        <v>PASS</v>
      </c>
      <c r="T20" t="str">
        <f t="shared" si="4"/>
        <v>First Class</v>
      </c>
    </row>
    <row r="21" spans="1:20" x14ac:dyDescent="0.25">
      <c r="A21">
        <v>20</v>
      </c>
      <c r="B21" t="s">
        <v>68</v>
      </c>
      <c r="C21" t="s">
        <v>17</v>
      </c>
      <c r="D21" t="s">
        <v>69</v>
      </c>
      <c r="E21">
        <v>6</v>
      </c>
      <c r="F21" t="str">
        <f t="shared" si="0"/>
        <v>hofa@gmail.com</v>
      </c>
      <c r="G21">
        <v>9272772727</v>
      </c>
      <c r="H21">
        <v>6.5</v>
      </c>
      <c r="I21">
        <v>6.8</v>
      </c>
      <c r="J21" t="s">
        <v>39</v>
      </c>
      <c r="K21" t="s">
        <v>29</v>
      </c>
      <c r="L21">
        <v>55</v>
      </c>
      <c r="M21">
        <v>58</v>
      </c>
      <c r="N21">
        <v>52</v>
      </c>
      <c r="O21">
        <v>50</v>
      </c>
      <c r="P21">
        <v>54</v>
      </c>
      <c r="Q21">
        <f t="shared" si="1"/>
        <v>269</v>
      </c>
      <c r="R21">
        <f t="shared" si="2"/>
        <v>53.800000000000004</v>
      </c>
      <c r="S21" t="str">
        <f t="shared" si="3"/>
        <v>PASS</v>
      </c>
      <c r="T21" t="str">
        <f t="shared" si="4"/>
        <v>Second Class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jalaj patel</dc:creator>
  <cp:lastModifiedBy>jalaj patel</cp:lastModifiedBy>
  <dcterms:created xsi:type="dcterms:W3CDTF">2026-02-03T15:47:01Z</dcterms:created>
  <dcterms:modified xsi:type="dcterms:W3CDTF">2026-02-03T15:53:57Z</dcterms:modified>
</cp:coreProperties>
</file>