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app\dav\dav-main\"/>
    </mc:Choice>
  </mc:AlternateContent>
  <xr:revisionPtr revIDLastSave="0" documentId="8_{49E144AB-46FB-42E4-8BDE-D915E3C07E1C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D2" i="2"/>
  <c r="E1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E2" i="2"/>
  <c r="D21" i="2"/>
  <c r="A21" i="2"/>
  <c r="B21" i="2" s="1"/>
  <c r="C21" i="2" s="1"/>
  <c r="D20" i="2"/>
  <c r="A20" i="2"/>
  <c r="B20" i="2" s="1"/>
  <c r="C20" i="2" s="1"/>
  <c r="A2" i="2"/>
  <c r="D4" i="2"/>
  <c r="E3" i="2"/>
  <c r="E4" i="2"/>
  <c r="E5" i="2"/>
  <c r="E6" i="2"/>
  <c r="E7" i="2"/>
  <c r="E8" i="2"/>
  <c r="E9" i="2"/>
  <c r="E10" i="2"/>
  <c r="E11" i="2"/>
  <c r="E13" i="2"/>
  <c r="E14" i="2"/>
  <c r="E15" i="2"/>
  <c r="E16" i="2"/>
  <c r="E17" i="2"/>
  <c r="E18" i="2"/>
  <c r="E19" i="2"/>
  <c r="E20" i="2"/>
  <c r="E21" i="2"/>
  <c r="D3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B2" i="2"/>
  <c r="C2" i="2" s="1"/>
  <c r="A3" i="2"/>
  <c r="B3" i="2" s="1"/>
  <c r="C3" i="2" s="1"/>
  <c r="A4" i="2"/>
  <c r="B4" i="2" s="1"/>
  <c r="C4" i="2" s="1"/>
  <c r="A5" i="2"/>
  <c r="B5" i="2" s="1"/>
  <c r="C5" i="2" s="1"/>
  <c r="A6" i="2"/>
  <c r="B6" i="2" s="1"/>
  <c r="C6" i="2" s="1"/>
  <c r="A7" i="2"/>
  <c r="B7" i="2" s="1"/>
  <c r="C7" i="2" s="1"/>
  <c r="A8" i="2"/>
  <c r="B8" i="2" s="1"/>
  <c r="C8" i="2" s="1"/>
  <c r="A9" i="2"/>
  <c r="B9" i="2" s="1"/>
  <c r="C9" i="2" s="1"/>
  <c r="A10" i="2"/>
  <c r="B10" i="2" s="1"/>
  <c r="C10" i="2" s="1"/>
  <c r="A11" i="2"/>
  <c r="B11" i="2" s="1"/>
  <c r="C11" i="2" s="1"/>
  <c r="A12" i="2"/>
  <c r="B12" i="2" s="1"/>
  <c r="C12" i="2" s="1"/>
  <c r="A13" i="2"/>
  <c r="B13" i="2" s="1"/>
  <c r="C13" i="2" s="1"/>
  <c r="A14" i="2"/>
  <c r="B14" i="2" s="1"/>
  <c r="C14" i="2" s="1"/>
  <c r="A15" i="2"/>
  <c r="B15" i="2" s="1"/>
  <c r="C15" i="2" s="1"/>
  <c r="A16" i="2"/>
  <c r="B16" i="2" s="1"/>
  <c r="C16" i="2" s="1"/>
  <c r="A17" i="2"/>
  <c r="B17" i="2" s="1"/>
  <c r="C17" i="2" s="1"/>
  <c r="A18" i="2"/>
  <c r="B18" i="2" s="1"/>
  <c r="C18" i="2" s="1"/>
  <c r="A19" i="2"/>
  <c r="B19" i="2" s="1"/>
  <c r="C19" i="2" s="1"/>
</calcChain>
</file>

<file path=xl/sharedStrings.xml><?xml version="1.0" encoding="utf-8"?>
<sst xmlns="http://schemas.openxmlformats.org/spreadsheetml/2006/main" count="124" uniqueCount="78">
  <si>
    <t>Sr No</t>
  </si>
  <si>
    <t>Enrollment No</t>
  </si>
  <si>
    <t>Department</t>
  </si>
  <si>
    <t>Student Name</t>
  </si>
  <si>
    <t>Semester</t>
  </si>
  <si>
    <t>Email</t>
  </si>
  <si>
    <t>Mobile</t>
  </si>
  <si>
    <t>SPI</t>
  </si>
  <si>
    <t>CPI</t>
  </si>
  <si>
    <t>Professional Elective</t>
  </si>
  <si>
    <t>TOE Name</t>
  </si>
  <si>
    <t>CNS</t>
  </si>
  <si>
    <t>SE</t>
  </si>
  <si>
    <t>DMBI</t>
  </si>
  <si>
    <t>WT</t>
  </si>
  <si>
    <t>EO</t>
  </si>
  <si>
    <t>IT</t>
  </si>
  <si>
    <t>AI</t>
  </si>
  <si>
    <t>Cloud</t>
  </si>
  <si>
    <t>ML</t>
  </si>
  <si>
    <t>DevOps</t>
  </si>
  <si>
    <t>DB</t>
  </si>
  <si>
    <t>AWS</t>
  </si>
  <si>
    <t>Web</t>
  </si>
  <si>
    <t>Security</t>
  </si>
  <si>
    <t>Elective</t>
  </si>
  <si>
    <t>TOE</t>
  </si>
  <si>
    <t>percentage</t>
  </si>
  <si>
    <t>grand total</t>
  </si>
  <si>
    <t>grade</t>
  </si>
  <si>
    <t>GradEO</t>
  </si>
  <si>
    <t>GRADE CNS</t>
  </si>
  <si>
    <t>GRADED</t>
  </si>
  <si>
    <t>GRADEDMBI</t>
  </si>
  <si>
    <t>GRADEWT</t>
  </si>
  <si>
    <t>EN1</t>
  </si>
  <si>
    <t>EN2</t>
  </si>
  <si>
    <t>EN3</t>
  </si>
  <si>
    <t>EN4</t>
  </si>
  <si>
    <t>EN5</t>
  </si>
  <si>
    <t>EN6</t>
  </si>
  <si>
    <t>EN7</t>
  </si>
  <si>
    <t>EN8</t>
  </si>
  <si>
    <t>EN9</t>
  </si>
  <si>
    <t>EN10</t>
  </si>
  <si>
    <t>EN11</t>
  </si>
  <si>
    <t>EN12</t>
  </si>
  <si>
    <t>EN13</t>
  </si>
  <si>
    <t>EN14</t>
  </si>
  <si>
    <t>EN15</t>
  </si>
  <si>
    <t>EN16</t>
  </si>
  <si>
    <t>EN17</t>
  </si>
  <si>
    <t>EN18</t>
  </si>
  <si>
    <t>EN19</t>
  </si>
  <si>
    <t>EN20</t>
  </si>
  <si>
    <t>CO</t>
  </si>
  <si>
    <t>ME</t>
  </si>
  <si>
    <t>jalaj patel</t>
  </si>
  <si>
    <t>dev</t>
  </si>
  <si>
    <t>raj</t>
  </si>
  <si>
    <t>harsh</t>
  </si>
  <si>
    <t>henil</t>
  </si>
  <si>
    <t>harsh h</t>
  </si>
  <si>
    <t>harsh m</t>
  </si>
  <si>
    <t>pratik</t>
  </si>
  <si>
    <t>devarshi</t>
  </si>
  <si>
    <t>jemil</t>
  </si>
  <si>
    <t>jenil</t>
  </si>
  <si>
    <t>het</t>
  </si>
  <si>
    <t>deep</t>
  </si>
  <si>
    <t>meet</t>
  </si>
  <si>
    <t>neel</t>
  </si>
  <si>
    <t>manan</t>
  </si>
  <si>
    <t xml:space="preserve"> het l</t>
  </si>
  <si>
    <t>mox</t>
  </si>
  <si>
    <t>harif</t>
  </si>
  <si>
    <t>hofa</t>
  </si>
  <si>
    <t>e-com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</si>
</sst>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="85" zoomScaleNormal="85" workbookViewId="0">
      <selection activeCell="M27" sqref="M27"/>
    </sheetView>
  </sheetViews>
  <sheetFormatPr defaultRowHeight="15" x14ac:dyDescent="0.25"/>
  <cols>
    <col min="3" max="3" width="14.28515625" customWidth="1"/>
    <col min="4" max="4" width="24.42578125" customWidth="1"/>
    <col min="6" max="6" width="25.42578125" customWidth="1"/>
    <col min="7" max="7" width="18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35</v>
      </c>
      <c r="C2" t="s">
        <v>16</v>
      </c>
      <c r="D2" t="s">
        <v>57</v>
      </c>
      <c r="E2">
        <v>6</v>
      </c>
      <c r="F2" t="str">
        <f>D2 &amp; "@gmail.com"</f>
        <v>jalaj patel@gmail.com</v>
      </c>
      <c r="G2">
        <v>8849493211</v>
      </c>
      <c r="H2">
        <v>9</v>
      </c>
      <c r="I2">
        <v>10</v>
      </c>
      <c r="J2" t="s">
        <v>17</v>
      </c>
      <c r="K2" t="s">
        <v>18</v>
      </c>
      <c r="L2">
        <v>85</v>
      </c>
      <c r="M2">
        <v>88</v>
      </c>
      <c r="N2">
        <v>90</v>
      </c>
      <c r="O2">
        <v>82</v>
      </c>
      <c r="P2">
        <v>86</v>
      </c>
    </row>
    <row r="3" spans="1:16" x14ac:dyDescent="0.25">
      <c r="A3">
        <v>2</v>
      </c>
      <c r="B3" t="s">
        <v>36</v>
      </c>
      <c r="C3" t="s">
        <v>16</v>
      </c>
      <c r="D3" t="s">
        <v>58</v>
      </c>
      <c r="E3">
        <v>6</v>
      </c>
      <c r="F3" t="str">
        <f t="shared" ref="F3:F21" si="0">D3 &amp; "@gmail.com"</f>
        <v>dev@gmail.com</v>
      </c>
      <c r="G3">
        <v>884949221</v>
      </c>
      <c r="H3">
        <v>8.1</v>
      </c>
      <c r="I3">
        <v>7.9</v>
      </c>
      <c r="J3" t="s">
        <v>19</v>
      </c>
      <c r="K3" t="s">
        <v>20</v>
      </c>
      <c r="L3">
        <v>70</v>
      </c>
      <c r="M3">
        <v>65</v>
      </c>
      <c r="N3">
        <v>68</v>
      </c>
      <c r="O3">
        <v>72</v>
      </c>
      <c r="P3">
        <v>66</v>
      </c>
    </row>
    <row r="4" spans="1:16" x14ac:dyDescent="0.25">
      <c r="A4">
        <v>3</v>
      </c>
      <c r="B4" t="s">
        <v>37</v>
      </c>
      <c r="C4" t="s">
        <v>55</v>
      </c>
      <c r="D4" t="s">
        <v>59</v>
      </c>
      <c r="E4">
        <v>6</v>
      </c>
      <c r="F4" t="str">
        <f t="shared" si="0"/>
        <v>raj@gmail.com</v>
      </c>
      <c r="G4">
        <v>8849493211</v>
      </c>
      <c r="H4">
        <v>9</v>
      </c>
      <c r="I4">
        <v>6.2</v>
      </c>
      <c r="J4" t="s">
        <v>21</v>
      </c>
      <c r="K4" t="s">
        <v>22</v>
      </c>
      <c r="L4">
        <v>45</v>
      </c>
      <c r="M4">
        <v>48</v>
      </c>
      <c r="N4">
        <v>50</v>
      </c>
      <c r="O4">
        <v>42</v>
      </c>
      <c r="P4">
        <v>47</v>
      </c>
    </row>
    <row r="5" spans="1:16" x14ac:dyDescent="0.25">
      <c r="A5">
        <v>4</v>
      </c>
      <c r="B5" t="s">
        <v>38</v>
      </c>
      <c r="C5" t="s">
        <v>16</v>
      </c>
      <c r="D5" t="s">
        <v>60</v>
      </c>
      <c r="E5">
        <v>6</v>
      </c>
      <c r="F5" t="str">
        <f t="shared" si="0"/>
        <v>harsh@gmail.com</v>
      </c>
      <c r="G5">
        <v>8958956945</v>
      </c>
      <c r="H5">
        <v>4.8</v>
      </c>
      <c r="I5">
        <v>4.5</v>
      </c>
      <c r="J5" t="s">
        <v>23</v>
      </c>
      <c r="K5" t="s">
        <v>24</v>
      </c>
      <c r="L5">
        <v>30</v>
      </c>
      <c r="M5">
        <v>32</v>
      </c>
      <c r="N5">
        <v>28</v>
      </c>
      <c r="O5">
        <v>34</v>
      </c>
      <c r="P5">
        <v>31</v>
      </c>
    </row>
    <row r="6" spans="1:16" x14ac:dyDescent="0.25">
      <c r="A6">
        <v>5</v>
      </c>
      <c r="B6" t="s">
        <v>39</v>
      </c>
      <c r="C6" t="s">
        <v>56</v>
      </c>
      <c r="D6" t="s">
        <v>61</v>
      </c>
      <c r="E6">
        <v>6</v>
      </c>
      <c r="F6" t="str">
        <f t="shared" si="0"/>
        <v>henil@gmail.com</v>
      </c>
      <c r="G6">
        <v>9992817893</v>
      </c>
      <c r="H6">
        <v>5</v>
      </c>
      <c r="I6">
        <v>5</v>
      </c>
      <c r="J6" t="s">
        <v>23</v>
      </c>
      <c r="K6" t="s">
        <v>22</v>
      </c>
      <c r="L6">
        <v>60</v>
      </c>
      <c r="M6">
        <v>63</v>
      </c>
      <c r="N6">
        <v>57</v>
      </c>
      <c r="O6">
        <v>55</v>
      </c>
      <c r="P6">
        <v>59</v>
      </c>
    </row>
    <row r="7" spans="1:16" x14ac:dyDescent="0.25">
      <c r="A7">
        <v>6</v>
      </c>
      <c r="B7" t="s">
        <v>40</v>
      </c>
      <c r="C7" t="s">
        <v>16</v>
      </c>
      <c r="D7" t="s">
        <v>62</v>
      </c>
      <c r="E7">
        <v>6</v>
      </c>
      <c r="F7" t="str">
        <f t="shared" si="0"/>
        <v>harsh h@gmail.com</v>
      </c>
      <c r="G7">
        <v>9939939393</v>
      </c>
      <c r="H7">
        <v>5.0999999999999996</v>
      </c>
      <c r="I7">
        <v>5.12</v>
      </c>
      <c r="J7" t="s">
        <v>25</v>
      </c>
      <c r="K7" t="s">
        <v>22</v>
      </c>
      <c r="L7">
        <v>61</v>
      </c>
      <c r="M7">
        <v>64</v>
      </c>
      <c r="N7">
        <v>58</v>
      </c>
      <c r="O7">
        <v>56</v>
      </c>
      <c r="P7">
        <v>60</v>
      </c>
    </row>
    <row r="8" spans="1:16" x14ac:dyDescent="0.25">
      <c r="A8">
        <v>7</v>
      </c>
      <c r="B8" t="s">
        <v>41</v>
      </c>
      <c r="C8" t="s">
        <v>56</v>
      </c>
      <c r="D8" t="s">
        <v>63</v>
      </c>
      <c r="E8">
        <v>6</v>
      </c>
      <c r="F8" t="str">
        <f t="shared" si="0"/>
        <v>harsh m@gmail.com</v>
      </c>
      <c r="G8">
        <v>9999999999</v>
      </c>
      <c r="H8">
        <v>5.2</v>
      </c>
      <c r="I8">
        <v>5.24</v>
      </c>
      <c r="J8" t="s">
        <v>21</v>
      </c>
      <c r="K8" t="s">
        <v>22</v>
      </c>
      <c r="L8">
        <v>62</v>
      </c>
      <c r="M8">
        <v>65</v>
      </c>
      <c r="N8">
        <v>59</v>
      </c>
      <c r="O8">
        <v>57</v>
      </c>
      <c r="P8">
        <v>61</v>
      </c>
    </row>
    <row r="9" spans="1:16" x14ac:dyDescent="0.25">
      <c r="A9">
        <v>8</v>
      </c>
      <c r="B9" t="s">
        <v>42</v>
      </c>
      <c r="C9" t="s">
        <v>16</v>
      </c>
      <c r="D9" t="s">
        <v>64</v>
      </c>
      <c r="E9">
        <v>6</v>
      </c>
      <c r="F9" t="str">
        <f t="shared" si="0"/>
        <v>pratik@gmail.com</v>
      </c>
      <c r="G9">
        <v>9999999993</v>
      </c>
      <c r="H9">
        <v>5.3</v>
      </c>
      <c r="I9">
        <v>5.36</v>
      </c>
      <c r="J9" t="s">
        <v>25</v>
      </c>
      <c r="K9" t="s">
        <v>26</v>
      </c>
      <c r="L9">
        <v>63</v>
      </c>
      <c r="M9">
        <v>66</v>
      </c>
      <c r="N9">
        <v>60</v>
      </c>
      <c r="O9">
        <v>58</v>
      </c>
      <c r="P9">
        <v>62</v>
      </c>
    </row>
    <row r="10" spans="1:16" x14ac:dyDescent="0.25">
      <c r="A10">
        <v>9</v>
      </c>
      <c r="B10" t="s">
        <v>43</v>
      </c>
      <c r="C10" t="s">
        <v>16</v>
      </c>
      <c r="D10" t="s">
        <v>65</v>
      </c>
      <c r="E10">
        <v>6</v>
      </c>
      <c r="F10" t="str">
        <f t="shared" si="0"/>
        <v>devarshi@gmail.com</v>
      </c>
      <c r="G10">
        <v>8383838838</v>
      </c>
      <c r="H10">
        <v>5.4</v>
      </c>
      <c r="I10">
        <v>5.48</v>
      </c>
      <c r="J10" t="s">
        <v>25</v>
      </c>
      <c r="K10" t="s">
        <v>77</v>
      </c>
      <c r="L10">
        <v>64</v>
      </c>
      <c r="M10">
        <v>67</v>
      </c>
      <c r="N10">
        <v>61</v>
      </c>
      <c r="O10">
        <v>59</v>
      </c>
      <c r="P10">
        <v>63</v>
      </c>
    </row>
    <row r="11" spans="1:16" x14ac:dyDescent="0.25">
      <c r="A11">
        <v>10</v>
      </c>
      <c r="B11" t="s">
        <v>44</v>
      </c>
      <c r="C11" t="s">
        <v>55</v>
      </c>
      <c r="D11" t="s">
        <v>66</v>
      </c>
      <c r="E11">
        <v>6</v>
      </c>
      <c r="F11" t="str">
        <f t="shared" si="0"/>
        <v>jemil@gmail.com</v>
      </c>
      <c r="G11">
        <v>8849493211</v>
      </c>
      <c r="H11">
        <v>5.5</v>
      </c>
      <c r="I11">
        <v>5.6</v>
      </c>
      <c r="J11" t="s">
        <v>21</v>
      </c>
      <c r="K11" t="s">
        <v>22</v>
      </c>
      <c r="L11">
        <v>55</v>
      </c>
      <c r="M11">
        <v>58</v>
      </c>
      <c r="N11">
        <v>52</v>
      </c>
      <c r="O11">
        <v>50</v>
      </c>
      <c r="P11">
        <v>54</v>
      </c>
    </row>
    <row r="12" spans="1:16" x14ac:dyDescent="0.25">
      <c r="A12">
        <v>11</v>
      </c>
      <c r="B12" t="s">
        <v>45</v>
      </c>
      <c r="C12" t="s">
        <v>56</v>
      </c>
      <c r="D12" t="s">
        <v>67</v>
      </c>
      <c r="E12">
        <v>6</v>
      </c>
      <c r="F12" t="str">
        <f t="shared" si="0"/>
        <v>jenil@gmail.com</v>
      </c>
      <c r="G12">
        <v>9999999990</v>
      </c>
      <c r="H12">
        <v>5.6</v>
      </c>
      <c r="I12">
        <v>5.72</v>
      </c>
      <c r="J12" t="s">
        <v>17</v>
      </c>
      <c r="K12" t="s">
        <v>77</v>
      </c>
      <c r="L12">
        <v>56</v>
      </c>
      <c r="M12">
        <v>59</v>
      </c>
      <c r="N12">
        <v>53</v>
      </c>
      <c r="O12">
        <v>51</v>
      </c>
      <c r="P12">
        <v>55</v>
      </c>
    </row>
    <row r="13" spans="1:16" x14ac:dyDescent="0.25">
      <c r="A13">
        <v>12</v>
      </c>
      <c r="B13" t="s">
        <v>46</v>
      </c>
      <c r="C13" t="s">
        <v>16</v>
      </c>
      <c r="D13" t="s">
        <v>68</v>
      </c>
      <c r="E13">
        <v>6</v>
      </c>
      <c r="F13" t="str">
        <f t="shared" si="0"/>
        <v>het@gmail.com</v>
      </c>
      <c r="G13">
        <v>9999977676</v>
      </c>
      <c r="H13">
        <v>5.7</v>
      </c>
      <c r="I13">
        <v>5.84</v>
      </c>
      <c r="J13" t="s">
        <v>25</v>
      </c>
      <c r="K13" t="s">
        <v>22</v>
      </c>
      <c r="L13">
        <v>57</v>
      </c>
      <c r="M13">
        <v>60</v>
      </c>
      <c r="N13">
        <v>54</v>
      </c>
      <c r="O13">
        <v>52</v>
      </c>
      <c r="P13">
        <v>56</v>
      </c>
    </row>
    <row r="14" spans="1:16" x14ac:dyDescent="0.25">
      <c r="A14">
        <v>13</v>
      </c>
      <c r="B14" t="s">
        <v>47</v>
      </c>
      <c r="C14" t="s">
        <v>55</v>
      </c>
      <c r="D14" t="s">
        <v>69</v>
      </c>
      <c r="E14">
        <v>6</v>
      </c>
      <c r="F14" t="str">
        <f t="shared" si="0"/>
        <v>deep@gmail.com</v>
      </c>
      <c r="G14">
        <v>9477474747</v>
      </c>
      <c r="H14">
        <v>5.8</v>
      </c>
      <c r="I14">
        <v>5.96</v>
      </c>
      <c r="J14" t="s">
        <v>25</v>
      </c>
      <c r="K14" t="s">
        <v>26</v>
      </c>
      <c r="L14">
        <v>58</v>
      </c>
      <c r="M14">
        <v>61</v>
      </c>
      <c r="N14">
        <v>55</v>
      </c>
      <c r="O14">
        <v>53</v>
      </c>
      <c r="P14">
        <v>57</v>
      </c>
    </row>
    <row r="15" spans="1:16" x14ac:dyDescent="0.25">
      <c r="A15">
        <v>14</v>
      </c>
      <c r="B15" t="s">
        <v>48</v>
      </c>
      <c r="C15" t="s">
        <v>56</v>
      </c>
      <c r="D15" t="s">
        <v>70</v>
      </c>
      <c r="E15">
        <v>6</v>
      </c>
      <c r="F15" t="str">
        <f t="shared" si="0"/>
        <v>meet@gmail.com</v>
      </c>
      <c r="G15">
        <v>8494949494</v>
      </c>
      <c r="H15">
        <v>5.9</v>
      </c>
      <c r="I15">
        <v>6.08</v>
      </c>
      <c r="J15" t="s">
        <v>17</v>
      </c>
      <c r="K15" t="s">
        <v>22</v>
      </c>
      <c r="L15">
        <v>59</v>
      </c>
      <c r="M15">
        <v>62</v>
      </c>
      <c r="N15">
        <v>56</v>
      </c>
      <c r="O15">
        <v>54</v>
      </c>
      <c r="P15">
        <v>58</v>
      </c>
    </row>
    <row r="16" spans="1:16" x14ac:dyDescent="0.25">
      <c r="A16">
        <v>15</v>
      </c>
      <c r="B16" t="s">
        <v>49</v>
      </c>
      <c r="C16" t="s">
        <v>56</v>
      </c>
      <c r="D16" t="s">
        <v>71</v>
      </c>
      <c r="E16">
        <v>6</v>
      </c>
      <c r="F16" t="str">
        <f t="shared" si="0"/>
        <v>neel@gmail.com</v>
      </c>
      <c r="G16">
        <v>9373738838</v>
      </c>
      <c r="H16">
        <v>6</v>
      </c>
      <c r="I16">
        <v>6.2</v>
      </c>
      <c r="J16" t="s">
        <v>21</v>
      </c>
      <c r="K16" t="s">
        <v>22</v>
      </c>
      <c r="L16">
        <v>60</v>
      </c>
      <c r="M16">
        <v>63</v>
      </c>
      <c r="N16">
        <v>57</v>
      </c>
      <c r="O16">
        <v>55</v>
      </c>
      <c r="P16">
        <v>59</v>
      </c>
    </row>
    <row r="17" spans="1:16" x14ac:dyDescent="0.25">
      <c r="A17">
        <v>16</v>
      </c>
      <c r="B17" t="s">
        <v>50</v>
      </c>
      <c r="C17" t="s">
        <v>55</v>
      </c>
      <c r="D17" t="s">
        <v>72</v>
      </c>
      <c r="E17">
        <v>6</v>
      </c>
      <c r="F17" t="str">
        <f t="shared" si="0"/>
        <v>manan@gmail.com</v>
      </c>
      <c r="G17">
        <v>9378378387</v>
      </c>
      <c r="H17">
        <v>6.1</v>
      </c>
      <c r="I17">
        <v>6.32</v>
      </c>
      <c r="J17" t="s">
        <v>25</v>
      </c>
      <c r="K17" t="s">
        <v>26</v>
      </c>
      <c r="L17">
        <v>61</v>
      </c>
      <c r="M17">
        <v>64</v>
      </c>
      <c r="N17">
        <v>58</v>
      </c>
      <c r="O17">
        <v>56</v>
      </c>
      <c r="P17">
        <v>60</v>
      </c>
    </row>
    <row r="18" spans="1:16" x14ac:dyDescent="0.25">
      <c r="A18">
        <v>17</v>
      </c>
      <c r="B18" t="s">
        <v>51</v>
      </c>
      <c r="C18" t="s">
        <v>16</v>
      </c>
      <c r="D18" t="s">
        <v>73</v>
      </c>
      <c r="E18">
        <v>6</v>
      </c>
      <c r="F18" t="str">
        <f t="shared" si="0"/>
        <v xml:space="preserve"> het l@gmail.com</v>
      </c>
      <c r="G18">
        <v>9171717817</v>
      </c>
      <c r="H18">
        <v>6.2</v>
      </c>
      <c r="I18">
        <v>6.44</v>
      </c>
      <c r="J18" t="s">
        <v>21</v>
      </c>
      <c r="K18" t="s">
        <v>24</v>
      </c>
      <c r="L18">
        <v>62</v>
      </c>
      <c r="M18">
        <v>65</v>
      </c>
      <c r="N18">
        <v>59</v>
      </c>
      <c r="O18">
        <v>57</v>
      </c>
      <c r="P18">
        <v>61</v>
      </c>
    </row>
    <row r="19" spans="1:16" x14ac:dyDescent="0.25">
      <c r="A19">
        <v>18</v>
      </c>
      <c r="B19" t="s">
        <v>52</v>
      </c>
      <c r="C19" t="s">
        <v>56</v>
      </c>
      <c r="D19" t="s">
        <v>74</v>
      </c>
      <c r="E19">
        <v>6</v>
      </c>
      <c r="F19" t="str">
        <f t="shared" si="0"/>
        <v>mox@gmail.com</v>
      </c>
      <c r="G19">
        <v>8919129929</v>
      </c>
      <c r="H19">
        <v>6.3</v>
      </c>
      <c r="I19">
        <v>6.56</v>
      </c>
      <c r="J19" t="s">
        <v>25</v>
      </c>
      <c r="K19" t="s">
        <v>22</v>
      </c>
      <c r="L19">
        <v>63</v>
      </c>
      <c r="M19">
        <v>66</v>
      </c>
      <c r="N19">
        <v>60</v>
      </c>
      <c r="O19">
        <v>58</v>
      </c>
      <c r="P19">
        <v>62</v>
      </c>
    </row>
    <row r="20" spans="1:16" x14ac:dyDescent="0.25">
      <c r="A20">
        <v>19</v>
      </c>
      <c r="B20" t="s">
        <v>53</v>
      </c>
      <c r="C20" t="s">
        <v>56</v>
      </c>
      <c r="D20" t="s">
        <v>75</v>
      </c>
      <c r="E20">
        <v>6</v>
      </c>
      <c r="F20" t="str">
        <f t="shared" si="0"/>
        <v>harif@gmail.com</v>
      </c>
      <c r="G20">
        <v>9287828288</v>
      </c>
      <c r="H20">
        <v>6.4</v>
      </c>
      <c r="I20">
        <v>6.68</v>
      </c>
      <c r="J20" t="s">
        <v>25</v>
      </c>
      <c r="K20" t="s">
        <v>22</v>
      </c>
      <c r="L20">
        <v>64</v>
      </c>
      <c r="M20">
        <v>67</v>
      </c>
      <c r="N20">
        <v>61</v>
      </c>
      <c r="O20">
        <v>59</v>
      </c>
      <c r="P20">
        <v>63</v>
      </c>
    </row>
    <row r="21" spans="1:16" x14ac:dyDescent="0.25">
      <c r="A21">
        <v>20</v>
      </c>
      <c r="B21" t="s">
        <v>54</v>
      </c>
      <c r="C21" t="s">
        <v>16</v>
      </c>
      <c r="D21" t="s">
        <v>76</v>
      </c>
      <c r="E21">
        <v>6</v>
      </c>
      <c r="F21" t="str">
        <f t="shared" si="0"/>
        <v>hofa@gmail.com</v>
      </c>
      <c r="G21">
        <v>9272772727</v>
      </c>
      <c r="H21">
        <v>6.5</v>
      </c>
      <c r="I21">
        <v>6.8</v>
      </c>
      <c r="J21" t="s">
        <v>25</v>
      </c>
      <c r="K21" t="s">
        <v>22</v>
      </c>
      <c r="L21">
        <v>55</v>
      </c>
      <c r="M21">
        <v>58</v>
      </c>
      <c r="N21">
        <v>52</v>
      </c>
      <c r="O21">
        <v>50</v>
      </c>
      <c r="P21">
        <v>54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H2" sqref="H2"/>
    </sheetView>
  </sheetViews>
  <sheetFormatPr defaultRowHeight="15" x14ac:dyDescent="0.25"/>
  <cols>
    <col min="1" max="1" width="15.42578125" customWidth="1"/>
    <col min="2" max="2" width="17.42578125" customWidth="1"/>
    <col min="3" max="3" width="10.5703125" customWidth="1"/>
    <col min="5" max="5" width="12.7109375" customWidth="1"/>
    <col min="7" max="7" width="12.7109375" customWidth="1"/>
  </cols>
  <sheetData>
    <row r="1" spans="1:8" x14ac:dyDescent="0.25">
      <c r="A1" t="s">
        <v>28</v>
      </c>
      <c r="B1" t="s">
        <v>27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25">
      <c r="A2">
        <f>SUM(Sheet2!L2:P2)</f>
        <v>431</v>
      </c>
      <c r="B2">
        <f>A2/500*100</f>
        <v>86.2</v>
      </c>
      <c r="C2" t="str">
        <f>IF(B2&gt;=90,"AA",IF(B2&gt;=80,"AB",IF(B2&gt;=70,"BB",IF(B2&gt;=60,"BC",IF(B2&gt;=50,"CC","FF")))))</f>
        <v>AB</v>
      </c>
      <c r="D2" t="str">
        <f>IF(Sheet2!P2&gt;=90,"AA",IF(Sheet2!P2&gt;=80,"AB",IF(Sheet2!P2&gt;=70,"BB",IF(Sheet2!P2&gt;=60,"BC",IF(Sheet2!P2&gt;=50,"CC","FF")))))</f>
        <v>AB</v>
      </c>
      <c r="E2" t="str">
        <f>IF(Sheet2!L2&gt;=90,"AA",IF(Sheet2!L2&gt;=80,"AB",IF(Sheet2!L2&gt;=70,"BB",IF(Sheet2!L2&gt;=60,"BC",IF(Sheet2!L2&gt;=50,"CC","FF")))))</f>
        <v>AB</v>
      </c>
      <c r="F2" t="str">
        <f>IF(Sheet2!M2&gt;=90,"AA",IF(Sheet2!M2&gt;=80,"AB",IF(Sheet2!M2&gt;=70,"BB",IF(Sheet2!M2&gt;=60,"BC",IF(Sheet2!M2&gt;=50,"CC","FF")))))</f>
        <v>AB</v>
      </c>
      <c r="G2" t="str">
        <f>IF(Sheet2!N2&gt;=90,"AA",IF(Sheet2!N2&gt;=80,"AB",IF(Sheet2!N2&gt;=70,"BB",IF(Sheet2!N2&gt;=60,"BC",IF(Sheet2!N2&gt;=50,"CC","FF")))))</f>
        <v>AA</v>
      </c>
      <c r="H2" t="str">
        <f>IF(Sheet2!O2&gt;=90,"AA",IF(Sheet2!O2&gt;=80,"AB",IF(Sheet2!O2&gt;=70,"BB",IF(Sheet2!O2&gt;=60,"BC",IF(Sheet2!O2&gt;=50,"CC","FF")))))</f>
        <v>AB</v>
      </c>
    </row>
    <row r="3" spans="1:8" x14ac:dyDescent="0.25">
      <c r="A3">
        <f>SUM(Sheet2!L3:P3)</f>
        <v>341</v>
      </c>
      <c r="B3">
        <f t="shared" ref="B3:B21" si="0">A3/500*100</f>
        <v>68.2</v>
      </c>
      <c r="C3" t="str">
        <f t="shared" ref="C3:C6" si="1">IF(B3&gt;=90,"AA",IF(B3&gt;=80,"AB",IF(B3&gt;=70,"BB",IF(B3&gt;=60,"BC",IF(B3&gt;=50,"CC","FF")))))</f>
        <v>BC</v>
      </c>
      <c r="D3" t="str">
        <f>IF(Sheet2!P3&gt;=90,"AA",IF(Sheet2!P3&gt;=80,"AB",IF(Sheet2!P3&gt;=70,"BB",IF(Sheet2!P3&gt;=60,"BC",IF(Sheet2!P3&gt;=50,"CC","FF")))))</f>
        <v>BC</v>
      </c>
      <c r="E3" t="str">
        <f>IF(Sheet2!L3&gt;=90,"AA",IF(Sheet2!L3&gt;=80,"AB",IF(Sheet2!L3&gt;=70,"BB",IF(Sheet2!L3&gt;=60,"BC",IF(Sheet2!L3&gt;=50,"CC","FF")))))</f>
        <v>BB</v>
      </c>
      <c r="F3" t="str">
        <f>IF(Sheet2!M3&gt;=90,"AA",IF(Sheet2!M3&gt;=80,"AB",IF(Sheet2!M3&gt;=70,"BB",IF(Sheet2!M3&gt;=60,"BC",IF(Sheet2!M3&gt;=50,"CC","FF")))))</f>
        <v>BC</v>
      </c>
      <c r="G3" t="str">
        <f>IF(Sheet2!N3&gt;=90,"AA",IF(Sheet2!N3&gt;=80,"AB",IF(Sheet2!N3&gt;=70,"BB",IF(Sheet2!N3&gt;=60,"BC",IF(Sheet2!N3&gt;=50,"CC","FF")))))</f>
        <v>BC</v>
      </c>
      <c r="H3" t="str">
        <f>IF(Sheet2!O3&gt;=90,"AA",IF(Sheet2!O3&gt;=80,"AB",IF(Sheet2!O3&gt;=70,"BB",IF(Sheet2!O3&gt;=60,"BC",IF(Sheet2!O3&gt;=50,"CC","FF")))))</f>
        <v>BB</v>
      </c>
    </row>
    <row r="4" spans="1:8" x14ac:dyDescent="0.25">
      <c r="A4">
        <f>SUM(Sheet2!L4:P4)</f>
        <v>232</v>
      </c>
      <c r="B4">
        <f t="shared" si="0"/>
        <v>46.400000000000006</v>
      </c>
      <c r="C4" t="str">
        <f t="shared" si="1"/>
        <v>FF</v>
      </c>
      <c r="D4" t="str">
        <f>IF(Sheet2!P4&gt;=90,"AA",IF(Sheet2!P4&gt;=80,"AB",IF(Sheet2!P4&gt;=70,"BB",IF(Sheet2!P4&gt;=60,"BC",IF(Sheet2!P4&gt;=50,"CC","FF")))))</f>
        <v>FF</v>
      </c>
      <c r="E4" t="str">
        <f>IF(Sheet2!L4&gt;=90,"AA",IF(Sheet2!L4&gt;=80,"AB",IF(Sheet2!L4&gt;=70,"BB",IF(Sheet2!L4&gt;=60,"BC",IF(Sheet2!L4&gt;=50,"CC","FF")))))</f>
        <v>FF</v>
      </c>
      <c r="F4" t="str">
        <f>IF(Sheet2!M4&gt;=90,"AA",IF(Sheet2!M4&gt;=80,"AB",IF(Sheet2!M4&gt;=70,"BB",IF(Sheet2!M4&gt;=60,"BC",IF(Sheet2!M4&gt;=50,"CC","FF")))))</f>
        <v>FF</v>
      </c>
      <c r="G4" t="str">
        <f>IF(Sheet2!N4&gt;=90,"AA",IF(Sheet2!N4&gt;=80,"AB",IF(Sheet2!N4&gt;=70,"BB",IF(Sheet2!N4&gt;=60,"BC",IF(Sheet2!N4&gt;=50,"CC","FF")))))</f>
        <v>CC</v>
      </c>
      <c r="H4" t="str">
        <f>IF(Sheet2!O4&gt;=90,"AA",IF(Sheet2!O4&gt;=80,"AB",IF(Sheet2!O4&gt;=70,"BB",IF(Sheet2!O4&gt;=60,"BC",IF(Sheet2!O4&gt;=50,"CC","FF")))))</f>
        <v>FF</v>
      </c>
    </row>
    <row r="5" spans="1:8" x14ac:dyDescent="0.25">
      <c r="A5">
        <f>SUM(Sheet2!L5:P5)</f>
        <v>155</v>
      </c>
      <c r="B5">
        <f t="shared" si="0"/>
        <v>31</v>
      </c>
      <c r="C5" t="str">
        <f t="shared" si="1"/>
        <v>FF</v>
      </c>
      <c r="D5" t="str">
        <f>IF(Sheet2!P5&gt;=90,"AA",IF(Sheet2!P5&gt;=80,"AB",IF(Sheet2!P5&gt;=70,"BB",IF(Sheet2!P5&gt;=60,"BC",IF(Sheet2!P5&gt;=50,"CC","FF")))))</f>
        <v>FF</v>
      </c>
      <c r="E5" t="str">
        <f>IF(Sheet2!L5&gt;=90,"AA",IF(Sheet2!L5&gt;=80,"AB",IF(Sheet2!L5&gt;=70,"BB",IF(Sheet2!L5&gt;=60,"BC",IF(Sheet2!L5&gt;=50,"CC","FF")))))</f>
        <v>FF</v>
      </c>
      <c r="F5" t="str">
        <f>IF(Sheet2!M5&gt;=90,"AA",IF(Sheet2!M5&gt;=80,"AB",IF(Sheet2!M5&gt;=70,"BB",IF(Sheet2!M5&gt;=60,"BC",IF(Sheet2!M5&gt;=50,"CC","FF")))))</f>
        <v>FF</v>
      </c>
      <c r="G5" t="str">
        <f>IF(Sheet2!N5&gt;=90,"AA",IF(Sheet2!N5&gt;=80,"AB",IF(Sheet2!N5&gt;=70,"BB",IF(Sheet2!N5&gt;=60,"BC",IF(Sheet2!N5&gt;=50,"CC","FF")))))</f>
        <v>FF</v>
      </c>
      <c r="H5" t="str">
        <f>IF(Sheet2!O5&gt;=90,"AA",IF(Sheet2!O5&gt;=80,"AB",IF(Sheet2!O5&gt;=70,"BB",IF(Sheet2!O5&gt;=60,"BC",IF(Sheet2!O5&gt;=50,"CC","FF")))))</f>
        <v>FF</v>
      </c>
    </row>
    <row r="6" spans="1:8" x14ac:dyDescent="0.25">
      <c r="A6">
        <f>SUM(Sheet2!L6:P6)</f>
        <v>294</v>
      </c>
      <c r="B6">
        <f t="shared" si="0"/>
        <v>58.8</v>
      </c>
      <c r="C6" t="str">
        <f t="shared" si="1"/>
        <v>CC</v>
      </c>
      <c r="D6" t="str">
        <f>IF(Sheet2!P6&gt;=90,"AA",IF(Sheet2!P6&gt;=80,"AB",IF(Sheet2!P6&gt;=70,"BB",IF(Sheet2!P6&gt;=60,"BC",IF(Sheet2!P6&gt;=50,"CC","FF")))))</f>
        <v>CC</v>
      </c>
      <c r="E6" t="str">
        <f>IF(Sheet2!L6&gt;=90,"AA",IF(Sheet2!L6&gt;=80,"AB",IF(Sheet2!L6&gt;=70,"BB",IF(Sheet2!L6&gt;=60,"BC",IF(Sheet2!L6&gt;=50,"CC","FF")))))</f>
        <v>BC</v>
      </c>
      <c r="F6" t="str">
        <f>IF(Sheet2!M6&gt;=90,"AA",IF(Sheet2!M6&gt;=80,"AB",IF(Sheet2!M6&gt;=70,"BB",IF(Sheet2!M6&gt;=60,"BC",IF(Sheet2!M6&gt;=50,"CC","FF")))))</f>
        <v>BC</v>
      </c>
      <c r="G6" t="str">
        <f>IF(Sheet2!N6&gt;=90,"AA",IF(Sheet2!N6&gt;=80,"AB",IF(Sheet2!N6&gt;=70,"BB",IF(Sheet2!N6&gt;=60,"BC",IF(Sheet2!N6&gt;=50,"CC","FF")))))</f>
        <v>CC</v>
      </c>
      <c r="H6" t="str">
        <f>IF(Sheet2!O6&gt;=90,"AA",IF(Sheet2!O6&gt;=80,"AB",IF(Sheet2!O6&gt;=70,"BB",IF(Sheet2!O6&gt;=60,"BC",IF(Sheet2!O6&gt;=50,"CC","FF")))))</f>
        <v>CC</v>
      </c>
    </row>
    <row r="7" spans="1:8" x14ac:dyDescent="0.25">
      <c r="A7">
        <f>SUM(Sheet2!L7:P7)</f>
        <v>299</v>
      </c>
      <c r="B7">
        <f t="shared" si="0"/>
        <v>59.8</v>
      </c>
      <c r="C7" t="str">
        <f t="shared" ref="C7:C21" si="2">IF(B7&gt;=90,"AA",IF(B7&gt;=80,"AB",IF(B7&gt;=70,"BB",IF(B7&gt;=60,"BC",IF(B7&gt;=50,"CC","FF")))))</f>
        <v>CC</v>
      </c>
      <c r="D7" t="str">
        <f>IF(Sheet2!P7&gt;=90,"AA",IF(Sheet2!P7&gt;=80,"AB",IF(Sheet2!P7&gt;=70,"BB",IF(Sheet2!P7&gt;=60,"BC",IF(Sheet2!P7&gt;=50,"CC","FF")))))</f>
        <v>BC</v>
      </c>
      <c r="E7" t="str">
        <f>IF(Sheet2!L7&gt;=90,"AA",IF(Sheet2!L7&gt;=80,"AB",IF(Sheet2!L7&gt;=70,"BB",IF(Sheet2!L7&gt;=60,"BC",IF(Sheet2!L7&gt;=50,"CC","FF")))))</f>
        <v>BC</v>
      </c>
      <c r="F7" t="str">
        <f>IF(Sheet2!M7&gt;=90,"AA",IF(Sheet2!M7&gt;=80,"AB",IF(Sheet2!M7&gt;=70,"BB",IF(Sheet2!M7&gt;=60,"BC",IF(Sheet2!M7&gt;=50,"CC","FF")))))</f>
        <v>BC</v>
      </c>
      <c r="G7" t="str">
        <f>IF(Sheet2!N7&gt;=90,"AA",IF(Sheet2!N7&gt;=80,"AB",IF(Sheet2!N7&gt;=70,"BB",IF(Sheet2!N7&gt;=60,"BC",IF(Sheet2!N7&gt;=50,"CC","FF")))))</f>
        <v>CC</v>
      </c>
      <c r="H7" t="str">
        <f>IF(Sheet2!O7&gt;=90,"AA",IF(Sheet2!O7&gt;=80,"AB",IF(Sheet2!O7&gt;=70,"BB",IF(Sheet2!O7&gt;=60,"BC",IF(Sheet2!O7&gt;=50,"CC","FF")))))</f>
        <v>CC</v>
      </c>
    </row>
    <row r="8" spans="1:8" x14ac:dyDescent="0.25">
      <c r="A8">
        <f>SUM(Sheet2!L8:P8)</f>
        <v>304</v>
      </c>
      <c r="B8">
        <f t="shared" si="0"/>
        <v>60.8</v>
      </c>
      <c r="C8" t="str">
        <f t="shared" si="2"/>
        <v>BC</v>
      </c>
      <c r="D8" t="str">
        <f>IF(Sheet2!P8&gt;=90,"AA",IF(Sheet2!P8&gt;=80,"AB",IF(Sheet2!P8&gt;=70,"BB",IF(Sheet2!P8&gt;=60,"BC",IF(Sheet2!P8&gt;=50,"CC","FF")))))</f>
        <v>BC</v>
      </c>
      <c r="E8" t="str">
        <f>IF(Sheet2!L8&gt;=90,"AA",IF(Sheet2!L8&gt;=80,"AB",IF(Sheet2!L8&gt;=70,"BB",IF(Sheet2!L8&gt;=60,"BC",IF(Sheet2!L8&gt;=50,"CC","FF")))))</f>
        <v>BC</v>
      </c>
      <c r="F8" t="str">
        <f>IF(Sheet2!M8&gt;=90,"AA",IF(Sheet2!M8&gt;=80,"AB",IF(Sheet2!M8&gt;=70,"BB",IF(Sheet2!M8&gt;=60,"BC",IF(Sheet2!M8&gt;=50,"CC","FF")))))</f>
        <v>BC</v>
      </c>
      <c r="G8" t="str">
        <f>IF(Sheet2!N8&gt;=90,"AA",IF(Sheet2!N8&gt;=80,"AB",IF(Sheet2!N8&gt;=70,"BB",IF(Sheet2!N8&gt;=60,"BC",IF(Sheet2!N8&gt;=50,"CC","FF")))))</f>
        <v>CC</v>
      </c>
      <c r="H8" t="str">
        <f>IF(Sheet2!O8&gt;=90,"AA",IF(Sheet2!O8&gt;=80,"AB",IF(Sheet2!O8&gt;=70,"BB",IF(Sheet2!O8&gt;=60,"BC",IF(Sheet2!O8&gt;=50,"CC","FF")))))</f>
        <v>CC</v>
      </c>
    </row>
    <row r="9" spans="1:8" x14ac:dyDescent="0.25">
      <c r="A9">
        <f>SUM(Sheet2!L9:P9)</f>
        <v>309</v>
      </c>
      <c r="B9">
        <f t="shared" si="0"/>
        <v>61.8</v>
      </c>
      <c r="C9" t="str">
        <f t="shared" si="2"/>
        <v>BC</v>
      </c>
      <c r="D9" t="str">
        <f>IF(Sheet2!P9&gt;=90,"AA",IF(Sheet2!P9&gt;=80,"AB",IF(Sheet2!P9&gt;=70,"BB",IF(Sheet2!P9&gt;=60,"BC",IF(Sheet2!P9&gt;=50,"CC","FF")))))</f>
        <v>BC</v>
      </c>
      <c r="E9" t="str">
        <f>IF(Sheet2!L9&gt;=90,"AA",IF(Sheet2!L9&gt;=80,"AB",IF(Sheet2!L9&gt;=70,"BB",IF(Sheet2!L9&gt;=60,"BC",IF(Sheet2!L9&gt;=50,"CC","FF")))))</f>
        <v>BC</v>
      </c>
      <c r="F9" t="str">
        <f>IF(Sheet2!M9&gt;=90,"AA",IF(Sheet2!M9&gt;=80,"AB",IF(Sheet2!M9&gt;=70,"BB",IF(Sheet2!M9&gt;=60,"BC",IF(Sheet2!M9&gt;=50,"CC","FF")))))</f>
        <v>BC</v>
      </c>
      <c r="G9" t="str">
        <f>IF(Sheet2!N9&gt;=90,"AA",IF(Sheet2!N9&gt;=80,"AB",IF(Sheet2!N9&gt;=70,"BB",IF(Sheet2!N9&gt;=60,"BC",IF(Sheet2!N9&gt;=50,"CC","FF")))))</f>
        <v>BC</v>
      </c>
      <c r="H9" t="str">
        <f>IF(Sheet2!O9&gt;=90,"AA",IF(Sheet2!O9&gt;=80,"AB",IF(Sheet2!O9&gt;=70,"BB",IF(Sheet2!O9&gt;=60,"BC",IF(Sheet2!O9&gt;=50,"CC","FF")))))</f>
        <v>CC</v>
      </c>
    </row>
    <row r="10" spans="1:8" x14ac:dyDescent="0.25">
      <c r="A10">
        <f>SUM(Sheet2!L10:P10)</f>
        <v>314</v>
      </c>
      <c r="B10">
        <f t="shared" si="0"/>
        <v>62.8</v>
      </c>
      <c r="C10" t="str">
        <f t="shared" si="2"/>
        <v>BC</v>
      </c>
      <c r="D10" t="str">
        <f>IF(Sheet2!P10&gt;=90,"AA",IF(Sheet2!P10&gt;=80,"AB",IF(Sheet2!P10&gt;=70,"BB",IF(Sheet2!P10&gt;=60,"BC",IF(Sheet2!P10&gt;=50,"CC","FF")))))</f>
        <v>BC</v>
      </c>
      <c r="E10" t="str">
        <f>IF(Sheet2!L10&gt;=90,"AA",IF(Sheet2!L10&gt;=80,"AB",IF(Sheet2!L10&gt;=70,"BB",IF(Sheet2!L10&gt;=60,"BC",IF(Sheet2!L10&gt;=50,"CC","FF")))))</f>
        <v>BC</v>
      </c>
      <c r="F10" t="str">
        <f>IF(Sheet2!M10&gt;=90,"AA",IF(Sheet2!M10&gt;=80,"AB",IF(Sheet2!M10&gt;=70,"BB",IF(Sheet2!M10&gt;=60,"BC",IF(Sheet2!M10&gt;=50,"CC","FF")))))</f>
        <v>BC</v>
      </c>
      <c r="G10" t="str">
        <f>IF(Sheet2!N10&gt;=90,"AA",IF(Sheet2!N10&gt;=80,"AB",IF(Sheet2!N10&gt;=70,"BB",IF(Sheet2!N10&gt;=60,"BC",IF(Sheet2!N10&gt;=50,"CC","FF")))))</f>
        <v>BC</v>
      </c>
      <c r="H10" t="str">
        <f>IF(Sheet2!O10&gt;=90,"AA",IF(Sheet2!O10&gt;=80,"AB",IF(Sheet2!O10&gt;=70,"BB",IF(Sheet2!O10&gt;=60,"BC",IF(Sheet2!O10&gt;=50,"CC","FF")))))</f>
        <v>CC</v>
      </c>
    </row>
    <row r="11" spans="1:8" x14ac:dyDescent="0.25">
      <c r="A11">
        <f>SUM(Sheet2!L11:P11)</f>
        <v>269</v>
      </c>
      <c r="B11">
        <f t="shared" si="0"/>
        <v>53.800000000000004</v>
      </c>
      <c r="C11" t="str">
        <f t="shared" si="2"/>
        <v>CC</v>
      </c>
      <c r="D11" t="str">
        <f>IF(Sheet2!P11&gt;=90,"AA",IF(Sheet2!P11&gt;=80,"AB",IF(Sheet2!P11&gt;=70,"BB",IF(Sheet2!P11&gt;=60,"BC",IF(Sheet2!P11&gt;=50,"CC","FF")))))</f>
        <v>CC</v>
      </c>
      <c r="E11" t="str">
        <f>IF(Sheet2!L11&gt;=90,"AA",IF(Sheet2!L11&gt;=80,"AB",IF(Sheet2!L11&gt;=70,"BB",IF(Sheet2!L11&gt;=60,"BC",IF(Sheet2!L11&gt;=50,"CC","FF")))))</f>
        <v>CC</v>
      </c>
      <c r="F11" t="str">
        <f>IF(Sheet2!M11&gt;=90,"AA",IF(Sheet2!M11&gt;=80,"AB",IF(Sheet2!M11&gt;=70,"BB",IF(Sheet2!M11&gt;=60,"BC",IF(Sheet2!M11&gt;=50,"CC","FF")))))</f>
        <v>CC</v>
      </c>
      <c r="G11" t="str">
        <f>IF(Sheet2!N11&gt;=90,"AA",IF(Sheet2!N11&gt;=80,"AB",IF(Sheet2!N11&gt;=70,"BB",IF(Sheet2!N11&gt;=60,"BC",IF(Sheet2!N11&gt;=50,"CC","FF")))))</f>
        <v>CC</v>
      </c>
      <c r="H11" t="str">
        <f>IF(Sheet2!O11&gt;=90,"AA",IF(Sheet2!O11&gt;=80,"AB",IF(Sheet2!O11&gt;=70,"BB",IF(Sheet2!O11&gt;=60,"BC",IF(Sheet2!O11&gt;=50,"CC","FF")))))</f>
        <v>CC</v>
      </c>
    </row>
    <row r="12" spans="1:8" x14ac:dyDescent="0.25">
      <c r="A12">
        <f>SUM(Sheet2!L12:P12)</f>
        <v>274</v>
      </c>
      <c r="B12">
        <f t="shared" si="0"/>
        <v>54.800000000000004</v>
      </c>
      <c r="C12" t="str">
        <f t="shared" si="2"/>
        <v>CC</v>
      </c>
      <c r="D12" t="str">
        <f>IF(Sheet2!P12&gt;=90,"AA",IF(Sheet2!P12&gt;=80,"AB",IF(Sheet2!P12&gt;=70,"BB",IF(Sheet2!P12&gt;=60,"BC",IF(Sheet2!P12&gt;=50,"CC","FF")))))</f>
        <v>CC</v>
      </c>
      <c r="E12" t="str">
        <f>IF(Sheet2!L12&gt;=90,"AA",IF(Sheet2!L12&gt;=80,"AB",IF(Sheet2!L12&gt;=70,"BB",IF(Sheet2!L12&gt;=60,"BC",IF(Sheet2!L12&gt;=50,"CC","FF")))))</f>
        <v>CC</v>
      </c>
      <c r="F12" t="str">
        <f>IF(Sheet2!M12&gt;=90,"AA",IF(Sheet2!M12&gt;=80,"AB",IF(Sheet2!M12&gt;=70,"BB",IF(Sheet2!M12&gt;=60,"BC",IF(Sheet2!M12&gt;=50,"CC","FF")))))</f>
        <v>CC</v>
      </c>
      <c r="G12" t="str">
        <f>IF(Sheet2!N12&gt;=90,"AA",IF(Sheet2!N12&gt;=80,"AB",IF(Sheet2!N12&gt;=70,"BB",IF(Sheet2!N12&gt;=60,"BC",IF(Sheet2!N12&gt;=50,"CC","FF")))))</f>
        <v>CC</v>
      </c>
      <c r="H12" t="str">
        <f>IF(Sheet2!O12&gt;=90,"AA",IF(Sheet2!O12&gt;=80,"AB",IF(Sheet2!O12&gt;=70,"BB",IF(Sheet2!O12&gt;=60,"BC",IF(Sheet2!O12&gt;=50,"CC","FF")))))</f>
        <v>CC</v>
      </c>
    </row>
    <row r="13" spans="1:8" x14ac:dyDescent="0.25">
      <c r="A13">
        <f>SUM(Sheet2!L13:P13)</f>
        <v>279</v>
      </c>
      <c r="B13">
        <f t="shared" si="0"/>
        <v>55.800000000000004</v>
      </c>
      <c r="C13" t="str">
        <f t="shared" si="2"/>
        <v>CC</v>
      </c>
      <c r="D13" t="str">
        <f>IF(Sheet2!P13&gt;=90,"AA",IF(Sheet2!P13&gt;=80,"AB",IF(Sheet2!P13&gt;=70,"BB",IF(Sheet2!P13&gt;=60,"BC",IF(Sheet2!P13&gt;=50,"CC","FF")))))</f>
        <v>CC</v>
      </c>
      <c r="E13" t="str">
        <f>IF(Sheet2!L13&gt;=90,"AA",IF(Sheet2!L13&gt;=80,"AB",IF(Sheet2!L13&gt;=70,"BB",IF(Sheet2!L13&gt;=60,"BC",IF(Sheet2!L13&gt;=50,"CC","FF")))))</f>
        <v>CC</v>
      </c>
      <c r="F13" t="str">
        <f>IF(Sheet2!M13&gt;=90,"AA",IF(Sheet2!M13&gt;=80,"AB",IF(Sheet2!M13&gt;=70,"BB",IF(Sheet2!M13&gt;=60,"BC",IF(Sheet2!M13&gt;=50,"CC","FF")))))</f>
        <v>BC</v>
      </c>
      <c r="G13" t="str">
        <f>IF(Sheet2!N13&gt;=90,"AA",IF(Sheet2!N13&gt;=80,"AB",IF(Sheet2!N13&gt;=70,"BB",IF(Sheet2!N13&gt;=60,"BC",IF(Sheet2!N13&gt;=50,"CC","FF")))))</f>
        <v>CC</v>
      </c>
      <c r="H13" t="str">
        <f>IF(Sheet2!O13&gt;=90,"AA",IF(Sheet2!O13&gt;=80,"AB",IF(Sheet2!O13&gt;=70,"BB",IF(Sheet2!O13&gt;=60,"BC",IF(Sheet2!O13&gt;=50,"CC","FF")))))</f>
        <v>CC</v>
      </c>
    </row>
    <row r="14" spans="1:8" x14ac:dyDescent="0.25">
      <c r="A14">
        <f>SUM(Sheet2!L14:P14)</f>
        <v>284</v>
      </c>
      <c r="B14">
        <f t="shared" si="0"/>
        <v>56.8</v>
      </c>
      <c r="C14" t="str">
        <f t="shared" si="2"/>
        <v>CC</v>
      </c>
      <c r="D14" t="str">
        <f>IF(Sheet2!P14&gt;=90,"AA",IF(Sheet2!P14&gt;=80,"AB",IF(Sheet2!P14&gt;=70,"BB",IF(Sheet2!P14&gt;=60,"BC",IF(Sheet2!P14&gt;=50,"CC","FF")))))</f>
        <v>CC</v>
      </c>
      <c r="E14" t="str">
        <f>IF(Sheet2!L14&gt;=90,"AA",IF(Sheet2!L14&gt;=80,"AB",IF(Sheet2!L14&gt;=70,"BB",IF(Sheet2!L14&gt;=60,"BC",IF(Sheet2!L14&gt;=50,"CC","FF")))))</f>
        <v>CC</v>
      </c>
      <c r="F14" t="str">
        <f>IF(Sheet2!M14&gt;=90,"AA",IF(Sheet2!M14&gt;=80,"AB",IF(Sheet2!M14&gt;=70,"BB",IF(Sheet2!M14&gt;=60,"BC",IF(Sheet2!M14&gt;=50,"CC","FF")))))</f>
        <v>BC</v>
      </c>
      <c r="G14" t="str">
        <f>IF(Sheet2!N14&gt;=90,"AA",IF(Sheet2!N14&gt;=80,"AB",IF(Sheet2!N14&gt;=70,"BB",IF(Sheet2!N14&gt;=60,"BC",IF(Sheet2!N14&gt;=50,"CC","FF")))))</f>
        <v>CC</v>
      </c>
      <c r="H14" t="str">
        <f>IF(Sheet2!O14&gt;=90,"AA",IF(Sheet2!O14&gt;=80,"AB",IF(Sheet2!O14&gt;=70,"BB",IF(Sheet2!O14&gt;=60,"BC",IF(Sheet2!O14&gt;=50,"CC","FF")))))</f>
        <v>CC</v>
      </c>
    </row>
    <row r="15" spans="1:8" x14ac:dyDescent="0.25">
      <c r="A15">
        <f>SUM(Sheet2!L15:P15)</f>
        <v>289</v>
      </c>
      <c r="B15">
        <f t="shared" si="0"/>
        <v>57.8</v>
      </c>
      <c r="C15" t="str">
        <f t="shared" si="2"/>
        <v>CC</v>
      </c>
      <c r="D15" t="str">
        <f>IF(Sheet2!P15&gt;=90,"AA",IF(Sheet2!P15&gt;=80,"AB",IF(Sheet2!P15&gt;=70,"BB",IF(Sheet2!P15&gt;=60,"BC",IF(Sheet2!P15&gt;=50,"CC","FF")))))</f>
        <v>CC</v>
      </c>
      <c r="E15" t="str">
        <f>IF(Sheet2!L15&gt;=90,"AA",IF(Sheet2!L15&gt;=80,"AB",IF(Sheet2!L15&gt;=70,"BB",IF(Sheet2!L15&gt;=60,"BC",IF(Sheet2!L15&gt;=50,"CC","FF")))))</f>
        <v>CC</v>
      </c>
      <c r="F15" t="str">
        <f>IF(Sheet2!M15&gt;=90,"AA",IF(Sheet2!M15&gt;=80,"AB",IF(Sheet2!M15&gt;=70,"BB",IF(Sheet2!M15&gt;=60,"BC",IF(Sheet2!M15&gt;=50,"CC","FF")))))</f>
        <v>BC</v>
      </c>
      <c r="G15" t="str">
        <f>IF(Sheet2!N15&gt;=90,"AA",IF(Sheet2!N15&gt;=80,"AB",IF(Sheet2!N15&gt;=70,"BB",IF(Sheet2!N15&gt;=60,"BC",IF(Sheet2!N15&gt;=50,"CC","FF")))))</f>
        <v>CC</v>
      </c>
      <c r="H15" t="str">
        <f>IF(Sheet2!O15&gt;=90,"AA",IF(Sheet2!O15&gt;=80,"AB",IF(Sheet2!O15&gt;=70,"BB",IF(Sheet2!O15&gt;=60,"BC",IF(Sheet2!O15&gt;=50,"CC","FF")))))</f>
        <v>CC</v>
      </c>
    </row>
    <row r="16" spans="1:8" x14ac:dyDescent="0.25">
      <c r="A16">
        <f>SUM(Sheet2!L16:P16)</f>
        <v>294</v>
      </c>
      <c r="B16">
        <f t="shared" si="0"/>
        <v>58.8</v>
      </c>
      <c r="C16" t="str">
        <f t="shared" si="2"/>
        <v>CC</v>
      </c>
      <c r="D16" t="str">
        <f>IF(Sheet2!P16&gt;=90,"AA",IF(Sheet2!P16&gt;=80,"AB",IF(Sheet2!P16&gt;=70,"BB",IF(Sheet2!P16&gt;=60,"BC",IF(Sheet2!P16&gt;=50,"CC","FF")))))</f>
        <v>CC</v>
      </c>
      <c r="E16" t="str">
        <f>IF(Sheet2!L16&gt;=90,"AA",IF(Sheet2!L16&gt;=80,"AB",IF(Sheet2!L16&gt;=70,"BB",IF(Sheet2!L16&gt;=60,"BC",IF(Sheet2!L16&gt;=50,"CC","FF")))))</f>
        <v>BC</v>
      </c>
      <c r="F16" t="str">
        <f>IF(Sheet2!M16&gt;=90,"AA",IF(Sheet2!M16&gt;=80,"AB",IF(Sheet2!M16&gt;=70,"BB",IF(Sheet2!M16&gt;=60,"BC",IF(Sheet2!M16&gt;=50,"CC","FF")))))</f>
        <v>BC</v>
      </c>
      <c r="G16" t="str">
        <f>IF(Sheet2!N16&gt;=90,"AA",IF(Sheet2!N16&gt;=80,"AB",IF(Sheet2!N16&gt;=70,"BB",IF(Sheet2!N16&gt;=60,"BC",IF(Sheet2!N16&gt;=50,"CC","FF")))))</f>
        <v>CC</v>
      </c>
      <c r="H16" t="str">
        <f>IF(Sheet2!O16&gt;=90,"AA",IF(Sheet2!O16&gt;=80,"AB",IF(Sheet2!O16&gt;=70,"BB",IF(Sheet2!O16&gt;=60,"BC",IF(Sheet2!O16&gt;=50,"CC","FF")))))</f>
        <v>CC</v>
      </c>
    </row>
    <row r="17" spans="1:8" x14ac:dyDescent="0.25">
      <c r="A17">
        <f>SUM(Sheet2!L17:P17)</f>
        <v>299</v>
      </c>
      <c r="B17">
        <f t="shared" si="0"/>
        <v>59.8</v>
      </c>
      <c r="C17" t="str">
        <f t="shared" si="2"/>
        <v>CC</v>
      </c>
      <c r="D17" t="str">
        <f>IF(Sheet2!P17&gt;=90,"AA",IF(Sheet2!P17&gt;=80,"AB",IF(Sheet2!P17&gt;=70,"BB",IF(Sheet2!P17&gt;=60,"BC",IF(Sheet2!P17&gt;=50,"CC","FF")))))</f>
        <v>BC</v>
      </c>
      <c r="E17" t="str">
        <f>IF(Sheet2!L17&gt;=90,"AA",IF(Sheet2!L17&gt;=80,"AB",IF(Sheet2!L17&gt;=70,"BB",IF(Sheet2!L17&gt;=60,"BC",IF(Sheet2!L17&gt;=50,"CC","FF")))))</f>
        <v>BC</v>
      </c>
      <c r="F17" t="str">
        <f>IF(Sheet2!M17&gt;=90,"AA",IF(Sheet2!M17&gt;=80,"AB",IF(Sheet2!M17&gt;=70,"BB",IF(Sheet2!M17&gt;=60,"BC",IF(Sheet2!M17&gt;=50,"CC","FF")))))</f>
        <v>BC</v>
      </c>
      <c r="G17" t="str">
        <f>IF(Sheet2!N17&gt;=90,"AA",IF(Sheet2!N17&gt;=80,"AB",IF(Sheet2!N17&gt;=70,"BB",IF(Sheet2!N17&gt;=60,"BC",IF(Sheet2!N17&gt;=50,"CC","FF")))))</f>
        <v>CC</v>
      </c>
      <c r="H17" t="str">
        <f>IF(Sheet2!O17&gt;=90,"AA",IF(Sheet2!O17&gt;=80,"AB",IF(Sheet2!O17&gt;=70,"BB",IF(Sheet2!O17&gt;=60,"BC",IF(Sheet2!O17&gt;=50,"CC","FF")))))</f>
        <v>CC</v>
      </c>
    </row>
    <row r="18" spans="1:8" x14ac:dyDescent="0.25">
      <c r="A18">
        <f>SUM(Sheet2!L18:P18)</f>
        <v>304</v>
      </c>
      <c r="B18">
        <f t="shared" si="0"/>
        <v>60.8</v>
      </c>
      <c r="C18" t="str">
        <f t="shared" si="2"/>
        <v>BC</v>
      </c>
      <c r="D18" t="str">
        <f>IF(Sheet2!P18&gt;=90,"AA",IF(Sheet2!P18&gt;=80,"AB",IF(Sheet2!P18&gt;=70,"BB",IF(Sheet2!P18&gt;=60,"BC",IF(Sheet2!P18&gt;=50,"CC","FF")))))</f>
        <v>BC</v>
      </c>
      <c r="E18" t="str">
        <f>IF(Sheet2!L18&gt;=90,"AA",IF(Sheet2!L18&gt;=80,"AB",IF(Sheet2!L18&gt;=70,"BB",IF(Sheet2!L18&gt;=60,"BC",IF(Sheet2!L18&gt;=50,"CC","FF")))))</f>
        <v>BC</v>
      </c>
      <c r="F18" t="str">
        <f>IF(Sheet2!M18&gt;=90,"AA",IF(Sheet2!M18&gt;=80,"AB",IF(Sheet2!M18&gt;=70,"BB",IF(Sheet2!M18&gt;=60,"BC",IF(Sheet2!M18&gt;=50,"CC","FF")))))</f>
        <v>BC</v>
      </c>
      <c r="G18" t="str">
        <f>IF(Sheet2!N18&gt;=90,"AA",IF(Sheet2!N18&gt;=80,"AB",IF(Sheet2!N18&gt;=70,"BB",IF(Sheet2!N18&gt;=60,"BC",IF(Sheet2!N18&gt;=50,"CC","FF")))))</f>
        <v>CC</v>
      </c>
      <c r="H18" t="str">
        <f>IF(Sheet2!O18&gt;=90,"AA",IF(Sheet2!O18&gt;=80,"AB",IF(Sheet2!O18&gt;=70,"BB",IF(Sheet2!O18&gt;=60,"BC",IF(Sheet2!O18&gt;=50,"CC","FF")))))</f>
        <v>CC</v>
      </c>
    </row>
    <row r="19" spans="1:8" x14ac:dyDescent="0.25">
      <c r="A19">
        <f>SUM(Sheet2!L19:P19)</f>
        <v>309</v>
      </c>
      <c r="B19">
        <f t="shared" si="0"/>
        <v>61.8</v>
      </c>
      <c r="C19" t="str">
        <f t="shared" si="2"/>
        <v>BC</v>
      </c>
      <c r="D19" t="str">
        <f>IF(Sheet2!P19&gt;=90,"AA",IF(Sheet2!P19&gt;=80,"AB",IF(Sheet2!P19&gt;=70,"BB",IF(Sheet2!P19&gt;=60,"BC",IF(Sheet2!P19&gt;=50,"CC","FF")))))</f>
        <v>BC</v>
      </c>
      <c r="E19" t="str">
        <f>IF(Sheet2!L19&gt;=90,"AA",IF(Sheet2!L19&gt;=80,"AB",IF(Sheet2!L19&gt;=70,"BB",IF(Sheet2!L19&gt;=60,"BC",IF(Sheet2!L19&gt;=50,"CC","FF")))))</f>
        <v>BC</v>
      </c>
      <c r="F19" t="str">
        <f>IF(Sheet2!M19&gt;=90,"AA",IF(Sheet2!M19&gt;=80,"AB",IF(Sheet2!M19&gt;=70,"BB",IF(Sheet2!M19&gt;=60,"BC",IF(Sheet2!M19&gt;=50,"CC","FF")))))</f>
        <v>BC</v>
      </c>
      <c r="G19" t="str">
        <f>IF(Sheet2!N19&gt;=90,"AA",IF(Sheet2!N19&gt;=80,"AB",IF(Sheet2!N19&gt;=70,"BB",IF(Sheet2!N19&gt;=60,"BC",IF(Sheet2!N19&gt;=50,"CC","FF")))))</f>
        <v>BC</v>
      </c>
      <c r="H19" t="str">
        <f>IF(Sheet2!O19&gt;=90,"AA",IF(Sheet2!O19&gt;=80,"AB",IF(Sheet2!O19&gt;=70,"BB",IF(Sheet2!O19&gt;=60,"BC",IF(Sheet2!O19&gt;=50,"CC","FF")))))</f>
        <v>CC</v>
      </c>
    </row>
    <row r="20" spans="1:8" x14ac:dyDescent="0.25">
      <c r="A20">
        <f>SUM(Sheet2!L20:P20)</f>
        <v>314</v>
      </c>
      <c r="B20">
        <f t="shared" si="0"/>
        <v>62.8</v>
      </c>
      <c r="C20" t="str">
        <f t="shared" si="2"/>
        <v>BC</v>
      </c>
      <c r="D20" t="str">
        <f>IF(Sheet2!P20&gt;=90,"AA",IF(Sheet2!P20&gt;=80,"AB",IF(Sheet2!P20&gt;=70,"BB",IF(Sheet2!P20&gt;=60,"BC",IF(Sheet2!P20&gt;=50,"CC","FF")))))</f>
        <v>BC</v>
      </c>
      <c r="E20" t="str">
        <f>IF(Sheet2!L20&gt;=90,"AA",IF(Sheet2!L20&gt;=80,"AB",IF(Sheet2!L20&gt;=70,"BB",IF(Sheet2!L20&gt;=60,"BC",IF(Sheet2!L20&gt;=50,"CC","FF")))))</f>
        <v>BC</v>
      </c>
      <c r="F20" t="str">
        <f>IF(Sheet2!M20&gt;=90,"AA",IF(Sheet2!M20&gt;=80,"AB",IF(Sheet2!M20&gt;=70,"BB",IF(Sheet2!M20&gt;=60,"BC",IF(Sheet2!M20&gt;=50,"CC","FF")))))</f>
        <v>BC</v>
      </c>
      <c r="G20" t="str">
        <f>IF(Sheet2!N20&gt;=90,"AA",IF(Sheet2!N20&gt;=80,"AB",IF(Sheet2!N20&gt;=70,"BB",IF(Sheet2!N20&gt;=60,"BC",IF(Sheet2!N20&gt;=50,"CC","FF")))))</f>
        <v>BC</v>
      </c>
      <c r="H20" t="str">
        <f>IF(Sheet2!O20&gt;=90,"AA",IF(Sheet2!O20&gt;=80,"AB",IF(Sheet2!O20&gt;=70,"BB",IF(Sheet2!O20&gt;=60,"BC",IF(Sheet2!O20&gt;=50,"CC","FF")))))</f>
        <v>CC</v>
      </c>
    </row>
    <row r="21" spans="1:8" x14ac:dyDescent="0.25">
      <c r="A21">
        <f>SUM(Sheet2!L21:P21)</f>
        <v>269</v>
      </c>
      <c r="B21">
        <f t="shared" si="0"/>
        <v>53.800000000000004</v>
      </c>
      <c r="C21" t="str">
        <f t="shared" si="2"/>
        <v>CC</v>
      </c>
      <c r="D21" t="str">
        <f>IF(Sheet2!P21&gt;=90,"AA",IF(Sheet2!P21&gt;=80,"AB",IF(Sheet2!P21&gt;=70,"BB",IF(Sheet2!P21&gt;=60,"BC",IF(Sheet2!P21&gt;=50,"CC","FF")))))</f>
        <v>CC</v>
      </c>
      <c r="E21" t="str">
        <f>IF(Sheet2!L21&gt;=90,"AA",IF(Sheet2!L21&gt;=80,"AB",IF(Sheet2!L21&gt;=70,"BB",IF(Sheet2!L21&gt;=60,"BC",IF(Sheet2!L21&gt;=50,"CC","FF")))))</f>
        <v>CC</v>
      </c>
      <c r="F21" t="str">
        <f>IF(Sheet2!M21&gt;=90,"AA",IF(Sheet2!M21&gt;=80,"AB",IF(Sheet2!M21&gt;=70,"BB",IF(Sheet2!M21&gt;=60,"BC",IF(Sheet2!M21&gt;=50,"CC","FF")))))</f>
        <v>CC</v>
      </c>
      <c r="G21" t="str">
        <f>IF(Sheet2!N21&gt;=90,"AA",IF(Sheet2!N21&gt;=80,"AB",IF(Sheet2!N21&gt;=70,"BB",IF(Sheet2!N21&gt;=60,"BC",IF(Sheet2!N21&gt;=50,"CC","FF")))))</f>
        <v>CC</v>
      </c>
      <c r="H21" t="str">
        <f>IF(Sheet2!O21&gt;=90,"AA",IF(Sheet2!O21&gt;=80,"AB",IF(Sheet2!O21&gt;=70,"BB",IF(Sheet2!O21&gt;=60,"BC",IF(Sheet2!O21&gt;=50,"CC","FF")))))</f>
        <v>CC</v>
      </c>
    </row>
  </sheetData>
  <conditionalFormatting sqref="C2:H21">
    <cfRule type="expression" dxfId="11" priority="1">
      <formula>C2:H2="BC"</formula>
    </cfRule>
    <cfRule type="expression" dxfId="10" priority="2">
      <formula>C2:H2="BB"</formula>
    </cfRule>
    <cfRule type="expression" dxfId="9" priority="3">
      <formula>"C2:H2=""BB"""</formula>
    </cfRule>
    <cfRule type="expression" dxfId="8" priority="4">
      <formula>C2:H2="CC"</formula>
    </cfRule>
    <cfRule type="expression" dxfId="7" priority="5">
      <formula>C2:H2="AB"</formula>
    </cfRule>
    <cfRule type="expression" dxfId="6" priority="6">
      <formula>C2:H2="FF"</formula>
    </cfRule>
  </conditionalFormatting>
  <conditionalFormatting sqref="D2:D21">
    <cfRule type="expression" dxfId="5" priority="11">
      <formula>D2="CC"</formula>
    </cfRule>
    <cfRule type="expression" dxfId="4" priority="12">
      <formula>D2="AB"</formula>
    </cfRule>
  </conditionalFormatting>
  <conditionalFormatting sqref="D2:H21">
    <cfRule type="expression" dxfId="3" priority="13">
      <formula>D2:H2="FF"</formula>
    </cfRule>
    <cfRule type="expression" dxfId="2" priority="14">
      <formula>D2:H2="BA"</formula>
    </cfRule>
    <cfRule type="expression" dxfId="1" priority="15">
      <formula>D2:H2="AB"</formula>
    </cfRule>
    <cfRule type="expression" dxfId="0" priority="16">
      <formula>D2:H2="AA"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jalaj patel</cp:lastModifiedBy>
  <dcterms:created xsi:type="dcterms:W3CDTF">2025-12-31T04:16:06Z</dcterms:created>
  <dcterms:modified xsi:type="dcterms:W3CDTF">2026-02-03T16:01:09Z</dcterms:modified>
</cp:coreProperties>
</file>